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79c83fe2b244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d99f2bb06f34f11"/>
    <x:sheet xmlns:r="http://schemas.openxmlformats.org/officeDocument/2006/relationships" name="Backlog" sheetId="2" r:id="R9512fa90843b4ba3"/>
    <x:sheet xmlns:r="http://schemas.openxmlformats.org/officeDocument/2006/relationships" name="Roadmap" sheetId="3" r:id="R6c6859b460e84bfb"/>
    <x:sheet xmlns:r="http://schemas.openxmlformats.org/officeDocument/2006/relationships" name="Sprint Capacity" sheetId="4" r:id="Rf6311d8947dd4db8"/>
    <x:sheet xmlns:r="http://schemas.openxmlformats.org/officeDocument/2006/relationships" name="MVP+1 Parking Lot" sheetId="5" r:id="Red00f0cb47ad41ad"/>
    <x:sheet xmlns:r="http://schemas.openxmlformats.org/officeDocument/2006/relationships" name="ReadMe" sheetId="6" r:id="R9a34721a31b541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color rgb="111827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5E7EB"/>
      </x:patternFill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top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horizontal="center" vertical="top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ill>
        <x:patternFill patternType="solid">
          <x:bgColor rgb="FECACA"/>
        </x:patternFill>
      </x:fill>
    </x:dxf>
    <x:dxf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4983aa7f9a4fc8" /><Relationship Type="http://schemas.openxmlformats.org/officeDocument/2006/relationships/theme" Target="/xl/theme/theme1.xml" Id="Re004a2662a7e4c21" /><Relationship Type="http://schemas.openxmlformats.org/officeDocument/2006/relationships/sharedStrings" Target="/xl/sharedStrings.xml" Id="R5c5666d8b964484d" /><Relationship Type="http://schemas.openxmlformats.org/officeDocument/2006/relationships/worksheet" Target="/xl/worksheets/sheet1.xml" Id="R1d99f2bb06f34f11" /><Relationship Type="http://schemas.openxmlformats.org/officeDocument/2006/relationships/worksheet" Target="/xl/worksheets/sheet2.xml" Id="R9512fa90843b4ba3" /><Relationship Type="http://schemas.openxmlformats.org/officeDocument/2006/relationships/worksheet" Target="/xl/worksheets/sheet3.xml" Id="R6c6859b460e84bfb" /><Relationship Type="http://schemas.openxmlformats.org/officeDocument/2006/relationships/worksheet" Target="/xl/worksheets/sheet4.xml" Id="Rf6311d8947dd4db8" /><Relationship Type="http://schemas.openxmlformats.org/officeDocument/2006/relationships/worksheet" Target="/xl/worksheets/sheet5.xml" Id="Red00f0cb47ad41ad" /><Relationship Type="http://schemas.openxmlformats.org/officeDocument/2006/relationships/worksheet" Target="/xl/worksheets/sheet6.xml" Id="R9a34721a31b5417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403515bbbf7481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MVP Points and Hours by Phase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Points</c:v>
          </c:tx>
          <c:cat>
            <c:strRef>
              <c:f>'Dashboard'!$A$12:$A$20</c:f>
              <c:strCache>
                <c:ptCount val="0"/>
              </c:strCache>
            </c:strRef>
          </c:cat>
          <c:val>
            <c:numRef>
              <c:f>'Dashboard'!$B$12:$B$20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Hours</c:v>
          </c:tx>
          <c:cat>
            <c:strRef>
              <c:f>'Dashboard'!$A$12:$A$20</c:f>
              <c:strCache>
                <c:ptCount val="0"/>
              </c:strCache>
            </c:strRef>
          </c:cat>
          <c:val>
            <c:numRef>
              <c:f>'Dashboard'!$C$12:$C$20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03515bbbf7481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4" name="DashboardPhaseTable" displayName="DashboardPhaseTable" ref="A11:C20" headerRowCount="1">
  <x:tableColumns count="3">
    <x:tableColumn id="1" name="Phase"/>
    <x:tableColumn id="2" name="Points"/>
    <x:tableColumn id="3" name="Hours"/>
  </x:tableColumns>
  <x:tableStyleInfo name="TableStyleMedium2" showRowStripes="1"/>
</x:table>
</file>

<file path=xl/tables/table2.xml><?xml version="1.0" encoding="utf-8"?>
<x:table xmlns:x="http://schemas.openxmlformats.org/spreadsheetml/2006/main" id="1" name="BacklogTable" displayName="BacklogTable" ref="A1:O45" headerRowCount="1">
  <x:tableColumns count="15">
    <x:tableColumn id="1" name="Key"/>
    <x:tableColumn id="2" name="Summary"/>
    <x:tableColumn id="3" name="Issue Type"/>
    <x:tableColumn id="4" name="Epic"/>
    <x:tableColumn id="5" name="Component"/>
    <x:tableColumn id="6" name="Story Points"/>
    <x:tableColumn id="7" name="Estimate Hours"/>
    <x:tableColumn id="8" name="Original Estimate"/>
    <x:tableColumn id="9" name="Priority"/>
    <x:tableColumn id="10" name="Labels"/>
    <x:tableColumn id="11" name="Target Sprint"/>
    <x:tableColumn id="12" name="Due Date"/>
    <x:tableColumn id="13" name="Energy Level"/>
    <x:tableColumn id="14" name="Status"/>
    <x:tableColumn id="15" name="Description"/>
  </x:tableColumns>
  <x:tableStyleInfo name="TableStyleMedium2" showRowStripes="1"/>
</x:table>
</file>

<file path=xl/tables/table3.xml><?xml version="1.0" encoding="utf-8"?>
<x:table xmlns:x="http://schemas.openxmlformats.org/spreadsheetml/2006/main" id="2" name="RoadmapTable" displayName="RoadmapTable" ref="A1:H10" headerRowCount="1">
  <x:tableColumns count="8">
    <x:tableColumn id="1" name="Phase"/>
    <x:tableColumn id="2" name="Target Sprint"/>
    <x:tableColumn id="3" name="Tickets"/>
    <x:tableColumn id="4" name="Story Points"/>
    <x:tableColumn id="5" name="Estimate Hours"/>
    <x:tableColumn id="6" name="Start Due"/>
    <x:tableColumn id="7" name="End Due"/>
    <x:tableColumn id="8" name="Goal"/>
  </x:tableColumns>
  <x:tableStyleInfo name="TableStyleMedium2" showRowStripes="1"/>
</x:table>
</file>

<file path=xl/tables/table4.xml><?xml version="1.0" encoding="utf-8"?>
<x:table xmlns:x="http://schemas.openxmlformats.org/spreadsheetml/2006/main" id="3" name="SprintCapacityTable" displayName="SprintCapacityTable" ref="A1:H11" headerRowCount="1">
  <x:tableColumns count="8">
    <x:tableColumn id="1" name="Sprint"/>
    <x:tableColumn id="2" name="Due Date"/>
    <x:tableColumn id="3" name="Tickets"/>
    <x:tableColumn id="4" name="Story Points"/>
    <x:tableColumn id="5" name="Estimate Hours"/>
    <x:tableColumn id="6" name="Capacity Hours"/>
    <x:tableColumn id="7" name="Over Under Hours"/>
    <x:tableColumn id="8" name="Comment"/>
  </x:tableColumns>
  <x:tableStyleInfo name="TableStyleMedium2" showRowStripes="1"/>
</x:table>
</file>

<file path=xl/tables/table5.xml><?xml version="1.0" encoding="utf-8"?>
<x:table xmlns:x="http://schemas.openxmlformats.org/spreadsheetml/2006/main" id="5" name="ParkingLotTable" displayName="ParkingLotTable" ref="A1:G8" headerRowCount="1">
  <x:tableColumns count="7">
    <x:tableColumn id="1" name="Key"/>
    <x:tableColumn id="2" name="Summary"/>
    <x:tableColumn id="3" name="Issue Type"/>
    <x:tableColumn id="4" name="Story Points"/>
    <x:tableColumn id="5" name="Estimate Hours"/>
    <x:tableColumn id="6" name="Label"/>
    <x:tableColumn id="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cec2db584544eb4" /><Relationship Type="http://schemas.openxmlformats.org/officeDocument/2006/relationships/table" Target="/xl/tables/table1.xml" Id="Rd8e1ff590f3241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6daae320fb048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51aff0245744a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c0bf795a52f46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c82783027984b6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2" hidden="0" customWidth="1"/>
  </x:cols>
  <x:sheetData>
    <x:row r="1">
      <x:c r="A1" s="18" t="str">
        <x:v>Local Scriptorium MVP Dashboard</x:v>
      </x:c>
      <x:c r="B1" s="19"/>
      <x:c r="C1" s="19"/>
    </x:row>
    <x:row r="3">
      <x:c r="A3" s="25" t="str">
        <x:v>Metric</x:v>
      </x:c>
      <x:c r="B3" s="25" t="str">
        <x:v>Value</x:v>
      </x:c>
      <x:c r="C3" s="25" t="str">
        <x:v>Notes</x:v>
      </x:c>
    </x:row>
    <x:row r="4">
      <x:c r="A4" t="str">
        <x:v>Total tickets</x:v>
      </x:c>
      <x:c r="B4" s="38" t="n">
        <x:v>44</x:v>
      </x:c>
      <x:c r="C4" t="str">
        <x:v>MVP backlog items</x:v>
      </x:c>
    </x:row>
    <x:row r="5">
      <x:c r="A5" t="str">
        <x:v>Total story points</x:v>
      </x:c>
      <x:c r="B5" s="38" t="n">
        <x:v>111</x:v>
      </x:c>
      <x:c r="C5" t="str">
        <x:v>Relative effort + uncertainty</x:v>
      </x:c>
    </x:row>
    <x:row r="6">
      <x:c r="A6" t="str">
        <x:v>Total estimate hours</x:v>
      </x:c>
      <x:c r="B6" s="38" t="n">
        <x:v>72.25</x:v>
      </x:c>
      <x:c r="C6" t="str">
        <x:v>At 6h/week this is about 12 weeks</x:v>
      </x:c>
    </x:row>
    <x:row r="7">
      <x:c r="A7" t="str">
        <x:v>Planned weekly capacity</x:v>
      </x:c>
      <x:c r="B7" s="38" t="n">
        <x:v>6</x:v>
      </x:c>
      <x:c r="C7" t="str">
        <x:v>Change this in Sprint Capacity if needed</x:v>
      </x:c>
    </x:row>
    <x:row r="8">
      <x:c r="A8" t="str">
        <x:v>Approx weeks at 6h/week</x:v>
      </x:c>
      <x:c r="B8" s="38" t="n">
        <x:f>72.25/6</x:f>
        <x:v>12.041666666666666</x:v>
      </x:c>
      <x:c r="C8" t="str">
        <x:v>Formula-based rough estimate</x:v>
      </x:c>
    </x:row>
    <x:row r="11">
      <x:c r="A11" s="25" t="str">
        <x:v>Phase</x:v>
      </x:c>
      <x:c r="B11" s="25" t="str">
        <x:v>Points</x:v>
      </x:c>
      <x:c r="C11" s="25" t="str">
        <x:v>Hours</x:v>
      </x:c>
    </x:row>
    <x:row r="12">
      <x:c r="A12" t="str">
        <x:v>Phase 0 Setup</x:v>
      </x:c>
      <x:c r="B12" s="38" t="n">
        <x:v>5</x:v>
      </x:c>
      <x:c r="C12" s="38" t="n">
        <x:v>3</x:v>
      </x:c>
    </x:row>
    <x:row r="13">
      <x:c r="A13" t="str">
        <x:v>Phase 1 Local Inference</x:v>
      </x:c>
      <x:c r="B13" s="38" t="n">
        <x:v>13</x:v>
      </x:c>
      <x:c r="C13" s="38" t="n">
        <x:v>7.5</x:v>
      </x:c>
    </x:row>
    <x:row r="14">
      <x:c r="A14" t="str">
        <x:v>Phase 2 Source Corpus</x:v>
      </x:c>
      <x:c r="B14" s="38" t="n">
        <x:v>16</x:v>
      </x:c>
      <x:c r="C14" s="38" t="n">
        <x:v>10.75</x:v>
      </x:c>
    </x:row>
    <x:row r="15">
      <x:c r="A15" t="str">
        <x:v>Phase 3 Manual RAG</x:v>
      </x:c>
      <x:c r="B15" s="38" t="n">
        <x:v>10</x:v>
      </x:c>
      <x:c r="C15" s="38" t="n">
        <x:v>6</x:v>
      </x:c>
    </x:row>
    <x:row r="16">
      <x:c r="A16" t="str">
        <x:v>Phase 4 Basic Retrieval</x:v>
      </x:c>
      <x:c r="B16" s="38" t="n">
        <x:v>11</x:v>
      </x:c>
      <x:c r="C16" s="38" t="n">
        <x:v>7</x:v>
      </x:c>
    </x:row>
    <x:row r="17">
      <x:c r="A17" t="str">
        <x:v>Phase 5 Grounded Answers</x:v>
      </x:c>
      <x:c r="B17" s="38" t="n">
        <x:v>14</x:v>
      </x:c>
      <x:c r="C17" s="38" t="n">
        <x:v>9</x:v>
      </x:c>
    </x:row>
    <x:row r="18">
      <x:c r="A18" t="str">
        <x:v>Phase 6 Evaluation</x:v>
      </x:c>
      <x:c r="B18" s="38" t="n">
        <x:v>17</x:v>
      </x:c>
      <x:c r="C18" s="38" t="n">
        <x:v>12</x:v>
      </x:c>
    </x:row>
    <x:row r="19">
      <x:c r="A19" t="str">
        <x:v>Phase 7 QVAC Spike</x:v>
      </x:c>
      <x:c r="B19" s="38" t="n">
        <x:v>8</x:v>
      </x:c>
      <x:c r="C19" s="38" t="n">
        <x:v>5</x:v>
      </x:c>
    </x:row>
    <x:row r="20">
      <x:c r="A20" t="str">
        <x:v>Phase 8 Portfolio</x:v>
      </x:c>
      <x:c r="B20" s="38" t="n">
        <x:v>17</x:v>
      </x:c>
      <x:c r="C20" s="38" t="n">
        <x:v>12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0cec2db584544eb4"/>
  <x:tableParts count="1">
    <x:tablePart xmlns:r="http://schemas.openxmlformats.org/officeDocument/2006/relationships" r:id="Rd8e1ff590f32412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13" hidden="0" customWidth="1"/>
    <x:col min="4" max="4" width="24" hidden="0" customWidth="1"/>
    <x:col min="5" max="5" width="22" hidden="0" customWidth="1"/>
    <x:col min="6" max="6" width="12" hidden="0" customWidth="1"/>
    <x:col min="7" max="7" width="13" hidden="0" customWidth="1"/>
    <x:col min="8" max="8" width="16" hidden="0" customWidth="1"/>
    <x:col min="9" max="9" width="12" hidden="0" customWidth="1"/>
    <x:col min="10" max="10" width="16" hidden="0" customWidth="1"/>
    <x:col min="11" max="11" width="13" hidden="0" customWidth="1"/>
    <x:col min="12" max="12" width="13" hidden="0" customWidth="1"/>
    <x:col min="13" max="13" width="13" hidden="0" customWidth="1"/>
    <x:col min="14" max="14" width="12" hidden="0" customWidth="1"/>
    <x:col min="15" max="15" width="70" hidden="0" customWidth="1"/>
  </x:cols>
  <x:sheetData>
    <x:row r="1">
      <x:c r="A1" s="32" t="str">
        <x:v>Key</x:v>
      </x:c>
      <x:c r="B1" s="33" t="str">
        <x:v>Summary</x:v>
      </x:c>
      <x:c r="C1" s="32" t="str">
        <x:v>Issue Type</x:v>
      </x:c>
      <x:c r="D1" s="32" t="str">
        <x:v>Epic</x:v>
      </x:c>
      <x:c r="E1" s="32" t="str">
        <x:v>Component</x:v>
      </x:c>
      <x:c r="F1" s="32" t="str">
        <x:v>Story Points</x:v>
      </x:c>
      <x:c r="G1" s="32" t="str">
        <x:v>Estimate Hours</x:v>
      </x:c>
      <x:c r="H1" s="32" t="str">
        <x:v>Original Estimate</x:v>
      </x:c>
      <x:c r="I1" s="32" t="str">
        <x:v>Priority</x:v>
      </x:c>
      <x:c r="J1" s="32" t="str">
        <x:v>Labels</x:v>
      </x:c>
      <x:c r="K1" s="32" t="str">
        <x:v>Target Sprint</x:v>
      </x:c>
      <x:c r="L1" s="32" t="str">
        <x:v>Due Date</x:v>
      </x:c>
      <x:c r="M1" s="32" t="str">
        <x:v>Energy Level</x:v>
      </x:c>
      <x:c r="N1" s="32" t="str">
        <x:v>Status</x:v>
      </x:c>
      <x:c r="O1" s="33" t="str">
        <x:v>Description</x:v>
      </x:c>
    </x:row>
    <x:row r="2">
      <x:c r="A2" s="34" t="str">
        <x:v>LS-1</x:v>
      </x:c>
      <x:c r="B2" s="34" t="str">
        <x:v>Create project charter</x:v>
      </x:c>
      <x:c r="C2" s="34" t="str">
        <x:v>Task</x:v>
      </x:c>
      <x:c r="D2" s="34" t="str">
        <x:v>Project Setup</x:v>
      </x:c>
      <x:c r="E2" s="34" t="str">
        <x:v>Phase 0 Setup</x:v>
      </x:c>
      <x:c r="F2" s="34" t="n">
        <x:v>1</x:v>
      </x:c>
      <x:c r="G2" s="34" t="n">
        <x:v>0.75</x:v>
      </x:c>
      <x:c r="H2" s="34" t="n">
        <x:v>2700</x:v>
      </x:c>
      <x:c r="I2" s="34" t="str">
        <x:v>High</x:v>
      </x:c>
      <x:c r="J2" s="34" t="str">
        <x:v>setup</x:v>
      </x:c>
      <x:c r="K2" s="34" t="str">
        <x:v>Sprint 0</x:v>
      </x:c>
      <x:c r="L2" s="34" t="str">
        <x:v>2026-05-17</x:v>
      </x:c>
      <x:c r="M2" s="34" t="str">
        <x:v>Low</x:v>
      </x:c>
      <x:c r="N2" s="34" t="str">
        <x:v>Backlog</x:v>
      </x:c>
      <x:c r="O2" s="34" t="str">
        <x:v>Goal: Define the mission, MVP goal, non-goals, success criteria, constraints, and completion definition.
Acceptance Criteria:
- Project charter exists in docs/project_charter.md
- MVP and non-goals are explicit
- Success criteria are testable
Output Artifact: docs/project_charter.md</x:v>
      </x:c>
    </x:row>
    <x:row r="3">
      <x:c r="A3" s="34" t="str">
        <x:v>LS-2</x:v>
      </x:c>
      <x:c r="B3" s="34" t="str">
        <x:v>Create Jira Scrum-lite project</x:v>
      </x:c>
      <x:c r="C3" s="34" t="str">
        <x:v>Task</x:v>
      </x:c>
      <x:c r="D3" s="34" t="str">
        <x:v>Project Setup</x:v>
      </x:c>
      <x:c r="E3" s="34" t="str">
        <x:v>Phase 0 Setup</x:v>
      </x:c>
      <x:c r="F3" s="34" t="n">
        <x:v>1</x:v>
      </x:c>
      <x:c r="G3" s="34" t="n">
        <x:v>0.75</x:v>
      </x:c>
      <x:c r="H3" s="34" t="n">
        <x:v>2700</x:v>
      </x:c>
      <x:c r="I3" s="34" t="str">
        <x:v>High</x:v>
      </x:c>
      <x:c r="J3" s="34" t="str">
        <x:v>setup</x:v>
      </x:c>
      <x:c r="K3" s="34" t="str">
        <x:v>Sprint 0</x:v>
      </x:c>
      <x:c r="L3" s="34" t="str">
        <x:v>2026-05-17</x:v>
      </x:c>
      <x:c r="M3" s="34" t="str">
        <x:v>Low</x:v>
      </x:c>
      <x:c r="N3" s="34" t="str">
        <x:v>Backlog</x:v>
      </x:c>
      <x:c r="O3" s="34" t="str">
        <x:v>Goal: Create the Jira project and import this MVP backlog.
Acceptance Criteria:
- Project named Local Scriptorium exists
- Board has Backlog, Selected for Sprint, In Progress, Blocked, Review, Done
- Story points and original estimate are visible
Output Artifact: Jira board URL or screenshot</x:v>
      </x:c>
    </x:row>
    <x:row r="4">
      <x:c r="A4" s="34" t="str">
        <x:v>LS-3</x:v>
      </x:c>
      <x:c r="B4" s="34" t="str">
        <x:v>Create repo and folder structure</x:v>
      </x:c>
      <x:c r="C4" s="34" t="str">
        <x:v>Task</x:v>
      </x:c>
      <x:c r="D4" s="34" t="str">
        <x:v>Project Setup</x:v>
      </x:c>
      <x:c r="E4" s="34" t="str">
        <x:v>Phase 0 Setup</x:v>
      </x:c>
      <x:c r="F4" s="34" t="n">
        <x:v>1</x:v>
      </x:c>
      <x:c r="G4" s="34" t="n">
        <x:v>0.5</x:v>
      </x:c>
      <x:c r="H4" s="34" t="n">
        <x:v>1800</x:v>
      </x:c>
      <x:c r="I4" s="34" t="str">
        <x:v>High</x:v>
      </x:c>
      <x:c r="J4" s="34" t="str">
        <x:v>setup</x:v>
      </x:c>
      <x:c r="K4" s="34" t="str">
        <x:v>Sprint 0</x:v>
      </x:c>
      <x:c r="L4" s="34" t="str">
        <x:v>2026-05-17</x:v>
      </x:c>
      <x:c r="M4" s="34" t="str">
        <x:v>Low</x:v>
      </x:c>
      <x:c r="N4" s="34" t="str">
        <x:v>Backlog</x:v>
      </x:c>
      <x:c r="O4" s="34" t="str">
        <x:v>Goal: Create a simple project workspace with folders for sources, chunks, outputs, evals, docs, decisions, and scripts.
Acceptance Criteria:
- Folder structure exists
- README stub exists
- No extra framework added yet
Output Artifact: Repo/folder screenshot or README</x:v>
      </x:c>
    </x:row>
    <x:row r="5">
      <x:c r="A5" s="34" t="str">
        <x:v>LS-4</x:v>
      </x:c>
      <x:c r="B5" s="34" t="str">
        <x:v>Create decision log template</x:v>
      </x:c>
      <x:c r="C5" s="34" t="str">
        <x:v>Task</x:v>
      </x:c>
      <x:c r="D5" s="34" t="str">
        <x:v>Project Setup</x:v>
      </x:c>
      <x:c r="E5" s="34" t="str">
        <x:v>Phase 0 Setup</x:v>
      </x:c>
      <x:c r="F5" s="34" t="n">
        <x:v>1</x:v>
      </x:c>
      <x:c r="G5" s="34" t="n">
        <x:v>0.5</x:v>
      </x:c>
      <x:c r="H5" s="34" t="n">
        <x:v>1800</x:v>
      </x:c>
      <x:c r="I5" s="34" t="str">
        <x:v>Medium</x:v>
      </x:c>
      <x:c r="J5" s="34" t="str">
        <x:v>setup</x:v>
      </x:c>
      <x:c r="K5" s="34" t="str">
        <x:v>Sprint 0</x:v>
      </x:c>
      <x:c r="L5" s="34" t="str">
        <x:v>2026-05-17</x:v>
      </x:c>
      <x:c r="M5" s="34" t="str">
        <x:v>Low</x:v>
      </x:c>
      <x:c r="N5" s="34" t="str">
        <x:v>Backlog</x:v>
      </x:c>
      <x:c r="O5" s="34" t="str">
        <x:v>Goal: Create a reusable decision log for technical and product decisions.
Acceptance Criteria:
- decision_log.md exists
- Template includes date, context, options, decision, reason, consequences
- First decision recorded
Output Artifact: decisions/decision_log.md</x:v>
      </x:c>
    </x:row>
    <x:row r="6">
      <x:c r="A6" s="34" t="str">
        <x:v>LS-5</x:v>
      </x:c>
      <x:c r="B6" s="34" t="str">
        <x:v>Validate imported Jira backlog</x:v>
      </x:c>
      <x:c r="C6" s="34" t="str">
        <x:v>Task</x:v>
      </x:c>
      <x:c r="D6" s="34" t="str">
        <x:v>Project Setup</x:v>
      </x:c>
      <x:c r="E6" s="34" t="str">
        <x:v>Phase 0 Setup</x:v>
      </x:c>
      <x:c r="F6" s="34" t="n">
        <x:v>1</x:v>
      </x:c>
      <x:c r="G6" s="34" t="n">
        <x:v>0.5</x:v>
      </x:c>
      <x:c r="H6" s="34" t="n">
        <x:v>1800</x:v>
      </x:c>
      <x:c r="I6" s="34" t="str">
        <x:v>Medium</x:v>
      </x:c>
      <x:c r="J6" s="34" t="str">
        <x:v>setup</x:v>
      </x:c>
      <x:c r="K6" s="34" t="str">
        <x:v>Sprint 0</x:v>
      </x:c>
      <x:c r="L6" s="34" t="str">
        <x:v>2026-05-17</x:v>
      </x:c>
      <x:c r="M6" s="34" t="str">
        <x:v>Low</x:v>
      </x:c>
      <x:c r="N6" s="34" t="str">
        <x:v>Backlog</x:v>
      </x:c>
      <x:c r="O6" s="34" t="str">
        <x:v>Goal: Confirm the imported backlog is usable and estimates are visible.
Acceptance Criteria:
- CSV import completed
- Ticket descriptions preserved
- Estimates mapped or documented as custom fields
Output Artifact: Screenshot or short setup note</x:v>
      </x:c>
    </x:row>
    <x:row r="7">
      <x:c r="A7" s="34" t="str">
        <x:v>LS-6</x:v>
      </x:c>
      <x:c r="B7" s="34" t="str">
        <x:v>Install Ollama</x:v>
      </x:c>
      <x:c r="C7" s="34" t="str">
        <x:v>Task</x:v>
      </x:c>
      <x:c r="D7" s="34" t="str">
        <x:v>Local Inference Baseline</x:v>
      </x:c>
      <x:c r="E7" s="34" t="str">
        <x:v>Phase 1 Local Inference</x:v>
      </x:c>
      <x:c r="F7" s="34" t="n">
        <x:v>2</x:v>
      </x:c>
      <x:c r="G7" s="34" t="n">
        <x:v>1</x:v>
      </x:c>
      <x:c r="H7" s="34" t="n">
        <x:v>3600</x:v>
      </x:c>
      <x:c r="I7" s="34" t="str">
        <x:v>High</x:v>
      </x:c>
      <x:c r="J7" s="34" t="str">
        <x:v>ollama</x:v>
      </x:c>
      <x:c r="K7" s="34" t="str">
        <x:v>Sprint 1</x:v>
      </x:c>
      <x:c r="L7" s="34" t="str">
        <x:v>2026-05-24</x:v>
      </x:c>
      <x:c r="M7" s="34" t="str">
        <x:v>Medium</x:v>
      </x:c>
      <x:c r="N7" s="34" t="str">
        <x:v>Backlog</x:v>
      </x:c>
      <x:c r="O7" s="34" t="str">
        <x:v>Goal: Install Ollama locally as the easiest baseline for local inference.
Acceptance Criteria:
- Ollama installed
- Terminal command works
- Install notes saved
Output Artifact: docs/setup_notes.md</x:v>
      </x:c>
    </x:row>
    <x:row r="8">
      <x:c r="A8" s="34" t="str">
        <x:v>LS-7</x:v>
      </x:c>
      <x:c r="B8" s="34" t="str">
        <x:v>Run first local model</x:v>
      </x:c>
      <x:c r="C8" s="34" t="str">
        <x:v>Task</x:v>
      </x:c>
      <x:c r="D8" s="34" t="str">
        <x:v>Local Inference Baseline</x:v>
      </x:c>
      <x:c r="E8" s="34" t="str">
        <x:v>Phase 1 Local Inference</x:v>
      </x:c>
      <x:c r="F8" s="34" t="n">
        <x:v>2</x:v>
      </x:c>
      <x:c r="G8" s="34" t="n">
        <x:v>1</x:v>
      </x:c>
      <x:c r="H8" s="34" t="n">
        <x:v>3600</x:v>
      </x:c>
      <x:c r="I8" s="34" t="str">
        <x:v>High</x:v>
      </x:c>
      <x:c r="J8" s="34" t="str">
        <x:v>local-inference</x:v>
      </x:c>
      <x:c r="K8" s="34" t="str">
        <x:v>Sprint 1</x:v>
      </x:c>
      <x:c r="L8" s="34" t="str">
        <x:v>2026-05-24</x:v>
      </x:c>
      <x:c r="M8" s="34" t="str">
        <x:v>Medium</x:v>
      </x:c>
      <x:c r="N8" s="34" t="str">
        <x:v>Backlog</x:v>
      </x:c>
      <x:c r="O8" s="34" t="str">
        <x:v>Goal: Run a small local LLM and produce the first local answer.
Acceptance Criteria:
- Model pulled
- Prompt returns output
- Model name and command saved
Output Artifact: outputs/local_model_hello_world.md</x:v>
      </x:c>
    </x:row>
    <x:row r="9">
      <x:c r="A9" s="34" t="str">
        <x:v>LS-8</x:v>
      </x:c>
      <x:c r="B9" s="34" t="str">
        <x:v>Create 10 baseline prompts</x:v>
      </x:c>
      <x:c r="C9" s="34" t="str">
        <x:v>Task</x:v>
      </x:c>
      <x:c r="D9" s="34" t="str">
        <x:v>Local Inference Baseline</x:v>
      </x:c>
      <x:c r="E9" s="34" t="str">
        <x:v>Phase 1 Local Inference</x:v>
      </x:c>
      <x:c r="F9" s="34" t="n">
        <x:v>2</x:v>
      </x:c>
      <x:c r="G9" s="34" t="n">
        <x:v>1</x:v>
      </x:c>
      <x:c r="H9" s="34" t="n">
        <x:v>3600</x:v>
      </x:c>
      <x:c r="I9" s="34" t="str">
        <x:v>Medium</x:v>
      </x:c>
      <x:c r="J9" s="34" t="str">
        <x:v>evals</x:v>
      </x:c>
      <x:c r="K9" s="34" t="str">
        <x:v>Sprint 1</x:v>
      </x:c>
      <x:c r="L9" s="34" t="str">
        <x:v>2026-05-24</x:v>
      </x:c>
      <x:c r="M9" s="34" t="str">
        <x:v>Medium</x:v>
      </x:c>
      <x:c r="N9" s="34" t="str">
        <x:v>Backlog</x:v>
      </x:c>
      <x:c r="O9" s="34" t="str">
        <x:v>Goal: Create a small prompt set for comparing local and cloud answers.
Acceptance Criteria:
- 10 prompts written
- Prompts cover summary, argument extraction, evidence, uncertainty, and refusal
- Prompts saved in evals folder
Output Artifact: evals/baseline_prompts.md</x:v>
      </x:c>
    </x:row>
    <x:row r="10">
      <x:c r="A10" s="34" t="str">
        <x:v>LS-9</x:v>
      </x:c>
      <x:c r="B10" s="34" t="str">
        <x:v>Save 10 baseline local outputs</x:v>
      </x:c>
      <x:c r="C10" s="34" t="str">
        <x:v>Task</x:v>
      </x:c>
      <x:c r="D10" s="34" t="str">
        <x:v>Local Inference Baseline</x:v>
      </x:c>
      <x:c r="E10" s="34" t="str">
        <x:v>Phase 1 Local Inference</x:v>
      </x:c>
      <x:c r="F10" s="34" t="n">
        <x:v>2</x:v>
      </x:c>
      <x:c r="G10" s="34" t="n">
        <x:v>1.5</x:v>
      </x:c>
      <x:c r="H10" s="34" t="n">
        <x:v>5400</x:v>
      </x:c>
      <x:c r="I10" s="34" t="str">
        <x:v>High</x:v>
      </x:c>
      <x:c r="J10" s="34" t="str">
        <x:v>local-inference</x:v>
      </x:c>
      <x:c r="K10" s="34" t="str">
        <x:v>Sprint 1</x:v>
      </x:c>
      <x:c r="L10" s="34" t="str">
        <x:v>2026-05-24</x:v>
      </x:c>
      <x:c r="M10" s="34" t="str">
        <x:v>Medium</x:v>
      </x:c>
      <x:c r="N10" s="34" t="str">
        <x:v>Backlog</x:v>
      </x:c>
      <x:c r="O10" s="34" t="str">
        <x:v>Goal: Run the baseline prompts through the local model and save outputs.
Acceptance Criteria:
- All 10 prompts run locally
- Outputs saved with model name and date
- Obvious failures noted
Output Artifact: outputs/baseline_local_outputs.md</x:v>
      </x:c>
    </x:row>
    <x:row r="11">
      <x:c r="A11" s="34" t="str">
        <x:v>LS-10</x:v>
      </x:c>
      <x:c r="B11" s="34" t="str">
        <x:v>Compare local output vs ChatGPT</x:v>
      </x:c>
      <x:c r="C11" s="34" t="str">
        <x:v>Task</x:v>
      </x:c>
      <x:c r="D11" s="34" t="str">
        <x:v>Local Inference Baseline</x:v>
      </x:c>
      <x:c r="E11" s="34" t="str">
        <x:v>Phase 1 Local Inference</x:v>
      </x:c>
      <x:c r="F11" s="34" t="n">
        <x:v>3</x:v>
      </x:c>
      <x:c r="G11" s="34" t="n">
        <x:v>2</x:v>
      </x:c>
      <x:c r="H11" s="34" t="n">
        <x:v>7200</x:v>
      </x:c>
      <x:c r="I11" s="34" t="str">
        <x:v>High</x:v>
      </x:c>
      <x:c r="J11" s="34" t="str">
        <x:v>evals</x:v>
      </x:c>
      <x:c r="K11" s="34" t="str">
        <x:v>Sprint 1</x:v>
      </x:c>
      <x:c r="L11" s="34" t="str">
        <x:v>2026-05-24</x:v>
      </x:c>
      <x:c r="M11" s="34" t="str">
        <x:v>High</x:v>
      </x:c>
      <x:c r="N11" s="34" t="str">
        <x:v>Backlog</x:v>
      </x:c>
      <x:c r="O11" s="34" t="str">
        <x:v>Goal: Run the same prompts through ChatGPT and compare quality, latency, and structure.
Acceptance Criteria:
- Same prompt set used
- Local vs cloud differences recorded
- At least 3 failure examples captured
Output Artifact: docs/local_vs_cloud_comparison.md</x:v>
      </x:c>
    </x:row>
    <x:row r="12">
      <x:c r="A12" s="34" t="str">
        <x:v>LS-11</x:v>
      </x:c>
      <x:c r="B12" s="34" t="str">
        <x:v>Write local inference baseline memo</x:v>
      </x:c>
      <x:c r="C12" s="34" t="str">
        <x:v>Task</x:v>
      </x:c>
      <x:c r="D12" s="34" t="str">
        <x:v>Local Inference Baseline</x:v>
      </x:c>
      <x:c r="E12" s="34" t="str">
        <x:v>Phase 1 Local Inference</x:v>
      </x:c>
      <x:c r="F12" s="34" t="n">
        <x:v>2</x:v>
      </x:c>
      <x:c r="G12" s="34" t="n">
        <x:v>1</x:v>
      </x:c>
      <x:c r="H12" s="34" t="n">
        <x:v>3600</x:v>
      </x:c>
      <x:c r="I12" s="34" t="str">
        <x:v>High</x:v>
      </x:c>
      <x:c r="J12" s="34" t="str">
        <x:v>docs</x:v>
      </x:c>
      <x:c r="K12" s="34" t="str">
        <x:v>Sprint 1</x:v>
      </x:c>
      <x:c r="L12" s="34" t="str">
        <x:v>2026-05-24</x:v>
      </x:c>
      <x:c r="M12" s="34" t="str">
        <x:v>Medium</x:v>
      </x:c>
      <x:c r="N12" s="34" t="str">
        <x:v>Backlog</x:v>
      </x:c>
      <x:c r="O12" s="34" t="str">
        <x:v>Goal: Summarize what local inference means in practice after first hands-on testing.
Acceptance Criteria:
- Memo explains what worked
- Memo explains what failed
- Memo identifies next smallest step
Output Artifact: docs/day_1_local_inference_baseline.md</x:v>
      </x:c>
    </x:row>
    <x:row r="13">
      <x:c r="A13" s="34" t="str">
        <x:v>LS-12</x:v>
      </x:c>
      <x:c r="B13" s="34" t="str">
        <x:v>Select first source corpus</x:v>
      </x:c>
      <x:c r="C13" s="34" t="str">
        <x:v>Task</x:v>
      </x:c>
      <x:c r="D13" s="34" t="str">
        <x:v>Source Corpus and Chunking</x:v>
      </x:c>
      <x:c r="E13" s="34" t="str">
        <x:v>Phase 2 Source Corpus</x:v>
      </x:c>
      <x:c r="F13" s="34" t="n">
        <x:v>1</x:v>
      </x:c>
      <x:c r="G13" s="34" t="n">
        <x:v>0.75</x:v>
      </x:c>
      <x:c r="H13" s="34" t="n">
        <x:v>2700</x:v>
      </x:c>
      <x:c r="I13" s="34" t="str">
        <x:v>High</x:v>
      </x:c>
      <x:c r="J13" s="34" t="str">
        <x:v>ingestion</x:v>
      </x:c>
      <x:c r="K13" s="34" t="str">
        <x:v>Sprint 2</x:v>
      </x:c>
      <x:c r="L13" s="34" t="str">
        <x:v>2026-05-31</x:v>
      </x:c>
      <x:c r="M13" s="34" t="str">
        <x:v>Low</x:v>
      </x:c>
      <x:c r="N13" s="34" t="str">
        <x:v>Backlog</x:v>
      </x:c>
      <x:c r="O13" s="34" t="str">
        <x:v>Goal: Choose the first 3 to 5 clean text sources for the MVP corpus.
Acceptance Criteria:
- 3 to 5 sources selected
- Sources are text or markdown
- Copyright/privacy status noted
Output Artifact: sources/source_selection.md</x:v>
      </x:c>
    </x:row>
    <x:row r="14">
      <x:c r="A14" s="34" t="str">
        <x:v>LS-13</x:v>
      </x:c>
      <x:c r="B14" s="34" t="str">
        <x:v>Create source metadata file</x:v>
      </x:c>
      <x:c r="C14" s="34" t="str">
        <x:v>Task</x:v>
      </x:c>
      <x:c r="D14" s="34" t="str">
        <x:v>Source Corpus and Chunking</x:v>
      </x:c>
      <x:c r="E14" s="34" t="str">
        <x:v>Phase 2 Source Corpus</x:v>
      </x:c>
      <x:c r="F14" s="34" t="n">
        <x:v>2</x:v>
      </x:c>
      <x:c r="G14" s="34" t="n">
        <x:v>1</x:v>
      </x:c>
      <x:c r="H14" s="34" t="n">
        <x:v>3600</x:v>
      </x:c>
      <x:c r="I14" s="34" t="str">
        <x:v>High</x:v>
      </x:c>
      <x:c r="J14" s="34" t="str">
        <x:v>ingestion</x:v>
      </x:c>
      <x:c r="K14" s="34" t="str">
        <x:v>Sprint 2</x:v>
      </x:c>
      <x:c r="L14" s="34" t="str">
        <x:v>2026-05-31</x:v>
      </x:c>
      <x:c r="M14" s="34" t="str">
        <x:v>Low</x:v>
      </x:c>
      <x:c r="N14" s="34" t="str">
        <x:v>Backlog</x:v>
      </x:c>
      <x:c r="O14" s="34" t="str">
        <x:v>Goal: Create metadata for each source so chunks can be traced back later.
Acceptance Criteria:
- Metadata includes source_id, title, author, type, notes
- Every source has a stable ID
- File saved in sources folder
Output Artifact: sources/sources_metadata.csv</x:v>
      </x:c>
    </x:row>
    <x:row r="15">
      <x:c r="A15" s="34" t="str">
        <x:v>LS-14</x:v>
      </x:c>
      <x:c r="B15" s="34" t="str">
        <x:v>Clean first 3 source files</x:v>
      </x:c>
      <x:c r="C15" s="34" t="str">
        <x:v>Task</x:v>
      </x:c>
      <x:c r="D15" s="34" t="str">
        <x:v>Source Corpus and Chunking</x:v>
      </x:c>
      <x:c r="E15" s="34" t="str">
        <x:v>Phase 2 Source Corpus</x:v>
      </x:c>
      <x:c r="F15" s="34" t="n">
        <x:v>3</x:v>
      </x:c>
      <x:c r="G15" s="34" t="n">
        <x:v>2</x:v>
      </x:c>
      <x:c r="H15" s="34" t="n">
        <x:v>7200</x:v>
      </x:c>
      <x:c r="I15" s="34" t="str">
        <x:v>High</x:v>
      </x:c>
      <x:c r="J15" s="34" t="str">
        <x:v>ingestion</x:v>
      </x:c>
      <x:c r="K15" s="34" t="str">
        <x:v>Sprint 2</x:v>
      </x:c>
      <x:c r="L15" s="34" t="str">
        <x:v>2026-05-31</x:v>
      </x:c>
      <x:c r="M15" s="34" t="str">
        <x:v>Medium</x:v>
      </x:c>
      <x:c r="N15" s="34" t="str">
        <x:v>Backlog</x:v>
      </x:c>
      <x:c r="O15" s="34" t="str">
        <x:v>Goal: Prepare source files by removing obvious formatting junk and making text usable.
Acceptance Criteria:
- 3 files cleaned
- Headings preserved where useful
- Cleaned files saved separately
Output Artifact: sources/clean/</x:v>
      </x:c>
    </x:row>
    <x:row r="16">
      <x:c r="A16" s="34" t="str">
        <x:v>LS-15</x:v>
      </x:c>
      <x:c r="B16" s="34" t="str">
        <x:v>Define chunk ID convention</x:v>
      </x:c>
      <x:c r="C16" s="34" t="str">
        <x:v>Task</x:v>
      </x:c>
      <x:c r="D16" s="34" t="str">
        <x:v>Source Corpus and Chunking</x:v>
      </x:c>
      <x:c r="E16" s="34" t="str">
        <x:v>Phase 2 Source Corpus</x:v>
      </x:c>
      <x:c r="F16" s="34" t="n">
        <x:v>1</x:v>
      </x:c>
      <x:c r="G16" s="34" t="n">
        <x:v>0.5</x:v>
      </x:c>
      <x:c r="H16" s="34" t="n">
        <x:v>1800</x:v>
      </x:c>
      <x:c r="I16" s="34" t="str">
        <x:v>High</x:v>
      </x:c>
      <x:c r="J16" s="34" t="str">
        <x:v>chunking</x:v>
      </x:c>
      <x:c r="K16" s="34" t="str">
        <x:v>Sprint 2</x:v>
      </x:c>
      <x:c r="L16" s="34" t="str">
        <x:v>2026-05-31</x:v>
      </x:c>
      <x:c r="M16" s="34" t="str">
        <x:v>Low</x:v>
      </x:c>
      <x:c r="N16" s="34" t="str">
        <x:v>Backlog</x:v>
      </x:c>
      <x:c r="O16" s="34" t="str">
        <x:v>Goal: Create a stable ID convention for chunks.
Acceptance Criteria:
- Convention documented
- Example chunk IDs included
- IDs encode source and sequence
Output Artifact: docs/chunking_rules.md</x:v>
      </x:c>
    </x:row>
    <x:row r="17">
      <x:c r="A17" s="34" t="str">
        <x:v>LS-16</x:v>
      </x:c>
      <x:c r="B17" s="34" t="str">
        <x:v>Create initial manual chunks</x:v>
      </x:c>
      <x:c r="C17" s="34" t="str">
        <x:v>Task</x:v>
      </x:c>
      <x:c r="D17" s="34" t="str">
        <x:v>Source Corpus and Chunking</x:v>
      </x:c>
      <x:c r="E17" s="34" t="str">
        <x:v>Phase 2 Source Corpus</x:v>
      </x:c>
      <x:c r="F17" s="34" t="n">
        <x:v>2</x:v>
      </x:c>
      <x:c r="G17" s="34" t="n">
        <x:v>1.5</x:v>
      </x:c>
      <x:c r="H17" s="34" t="n">
        <x:v>5400</x:v>
      </x:c>
      <x:c r="I17" s="34" t="str">
        <x:v>High</x:v>
      </x:c>
      <x:c r="J17" s="34" t="str">
        <x:v>chunking</x:v>
      </x:c>
      <x:c r="K17" s="34" t="str">
        <x:v>Sprint 2</x:v>
      </x:c>
      <x:c r="L17" s="34" t="str">
        <x:v>2026-05-31</x:v>
      </x:c>
      <x:c r="M17" s="34" t="str">
        <x:v>Medium</x:v>
      </x:c>
      <x:c r="N17" s="34" t="str">
        <x:v>Backlog</x:v>
      </x:c>
      <x:c r="O17" s="34" t="str">
        <x:v>Goal: Manually chunk one source to understand the desired structure before scripting.
Acceptance Criteria:
- At least 20 chunks created
- Each chunk has source ID
- Chunks are readable and not overly tiny
Output Artifact: chunks/manual_chunks.md</x:v>
      </x:c>
    </x:row>
    <x:row r="18">
      <x:c r="A18" s="34" t="str">
        <x:v>LS-17</x:v>
      </x:c>
      <x:c r="B18" s="34" t="str">
        <x:v>Create chunking script with AI coding tool</x:v>
      </x:c>
      <x:c r="C18" s="34" t="str">
        <x:v>Task</x:v>
      </x:c>
      <x:c r="D18" s="34" t="str">
        <x:v>Source Corpus and Chunking</x:v>
      </x:c>
      <x:c r="E18" s="34" t="str">
        <x:v>Phase 2 Source Corpus</x:v>
      </x:c>
      <x:c r="F18" s="34" t="n">
        <x:v>5</x:v>
      </x:c>
      <x:c r="G18" s="34" t="n">
        <x:v>4</x:v>
      </x:c>
      <x:c r="H18" s="34" t="n">
        <x:v>14400</x:v>
      </x:c>
      <x:c r="I18" s="34" t="str">
        <x:v>High</x:v>
      </x:c>
      <x:c r="J18" s="34" t="str">
        <x:v>chunking</x:v>
      </x:c>
      <x:c r="K18" s="34" t="str">
        <x:v>Sprint 3</x:v>
      </x:c>
      <x:c r="L18" s="34" t="str">
        <x:v>2026-06-07</x:v>
      </x:c>
      <x:c r="M18" s="34" t="str">
        <x:v>High</x:v>
      </x:c>
      <x:c r="N18" s="34" t="str">
        <x:v>Backlog</x:v>
      </x:c>
      <x:c r="O18" s="34" t="str">
        <x:v>Goal: Use an AI coding assistant to create a simple script that chunks txt and markdown files.
Acceptance Criteria:
- Script reads sources folder
- Script writes chunks.json
- Script preserves source filename and source ID
- Script prints chunk count
Output Artifact: scripts/chunk_sources.py and chunks/chunks.json</x:v>
      </x:c>
    </x:row>
    <x:row r="19">
      <x:c r="A19" s="34" t="str">
        <x:v>LS-18</x:v>
      </x:c>
      <x:c r="B19" s="34" t="str">
        <x:v>Validate chunk output</x:v>
      </x:c>
      <x:c r="C19" s="34" t="str">
        <x:v>Task</x:v>
      </x:c>
      <x:c r="D19" s="34" t="str">
        <x:v>Source Corpus and Chunking</x:v>
      </x:c>
      <x:c r="E19" s="34" t="str">
        <x:v>Phase 2 Source Corpus</x:v>
      </x:c>
      <x:c r="F19" s="34" t="n">
        <x:v>2</x:v>
      </x:c>
      <x:c r="G19" s="34" t="n">
        <x:v>1</x:v>
      </x:c>
      <x:c r="H19" s="34" t="n">
        <x:v>3600</x:v>
      </x:c>
      <x:c r="I19" s="34" t="str">
        <x:v>High</x:v>
      </x:c>
      <x:c r="J19" s="34" t="str">
        <x:v>chunking</x:v>
      </x:c>
      <x:c r="K19" s="34" t="str">
        <x:v>Sprint 3</x:v>
      </x:c>
      <x:c r="L19" s="34" t="str">
        <x:v>2026-06-07</x:v>
      </x:c>
      <x:c r="M19" s="34" t="str">
        <x:v>Medium</x:v>
      </x:c>
      <x:c r="N19" s="34" t="str">
        <x:v>Backlog</x:v>
      </x:c>
      <x:c r="O19" s="34" t="str">
        <x:v>Goal: Check that automated chunks are coherent and traceable.
Acceptance Criteria:
- 10 random chunks inspected
- Bad chunk examples logged
- Chunking rules updated if needed
Output Artifact: docs/chunk_validation_notes.md</x:v>
      </x:c>
    </x:row>
    <x:row r="20">
      <x:c r="A20" s="34" t="str">
        <x:v>LS-19</x:v>
      </x:c>
      <x:c r="B20" s="34" t="str">
        <x:v>Create 10 manual RAG questions</x:v>
      </x:c>
      <x:c r="C20" s="34" t="str">
        <x:v>Task</x:v>
      </x:c>
      <x:c r="D20" s="34" t="str">
        <x:v>Manual RAG</x:v>
      </x:c>
      <x:c r="E20" s="34" t="str">
        <x:v>Phase 3 Manual RAG</x:v>
      </x:c>
      <x:c r="F20" s="34" t="n">
        <x:v>2</x:v>
      </x:c>
      <x:c r="G20" s="34" t="n">
        <x:v>1</x:v>
      </x:c>
      <x:c r="H20" s="34" t="n">
        <x:v>3600</x:v>
      </x:c>
      <x:c r="I20" s="34" t="str">
        <x:v>High</x:v>
      </x:c>
      <x:c r="J20" s="34" t="str">
        <x:v>rag</x:v>
      </x:c>
      <x:c r="K20" s="34" t="str">
        <x:v>Sprint 3</x:v>
      </x:c>
      <x:c r="L20" s="34" t="str">
        <x:v>2026-06-07</x:v>
      </x:c>
      <x:c r="M20" s="34" t="str">
        <x:v>Medium</x:v>
      </x:c>
      <x:c r="N20" s="34" t="str">
        <x:v>Backlog</x:v>
      </x:c>
      <x:c r="O20" s="34" t="str">
        <x:v>Goal: Create questions that require source-grounded answers.
Acceptance Criteria:
- 10 questions written
- Questions include factual, interpretive, and comparison types
- Expected source hints added where possible
Output Artifact: evals/manual_rag_questions.md</x:v>
      </x:c>
    </x:row>
    <x:row r="21">
      <x:c r="A21" s="34" t="str">
        <x:v>LS-20</x:v>
      </x:c>
      <x:c r="B21" s="34" t="str">
        <x:v>Manually select relevant chunks</x:v>
      </x:c>
      <x:c r="C21" s="34" t="str">
        <x:v>Task</x:v>
      </x:c>
      <x:c r="D21" s="34" t="str">
        <x:v>Manual RAG</x:v>
      </x:c>
      <x:c r="E21" s="34" t="str">
        <x:v>Phase 3 Manual RAG</x:v>
      </x:c>
      <x:c r="F21" s="34" t="n">
        <x:v>2</x:v>
      </x:c>
      <x:c r="G21" s="34" t="n">
        <x:v>1</x:v>
      </x:c>
      <x:c r="H21" s="34" t="n">
        <x:v>3600</x:v>
      </x:c>
      <x:c r="I21" s="34" t="str">
        <x:v>High</x:v>
      </x:c>
      <x:c r="J21" s="34" t="str">
        <x:v>rag</x:v>
      </x:c>
      <x:c r="K21" s="34" t="str">
        <x:v>Sprint 3</x:v>
      </x:c>
      <x:c r="L21" s="34" t="str">
        <x:v>2026-06-07</x:v>
      </x:c>
      <x:c r="M21" s="34" t="str">
        <x:v>Medium</x:v>
      </x:c>
      <x:c r="N21" s="34" t="str">
        <x:v>Backlog</x:v>
      </x:c>
      <x:c r="O21" s="34" t="str">
        <x:v>Goal: Pick source chunks by hand for each manual RAG question.
Acceptance Criteria:
- Each question has selected chunk IDs
- Selection rationale noted
- At least one insufficient-evidence case included
Output Artifact: evals/manual_rag_contexts.md</x:v>
      </x:c>
    </x:row>
    <x:row r="22">
      <x:c r="A22" s="34" t="str">
        <x:v>LS-21</x:v>
      </x:c>
      <x:c r="B22" s="34" t="str">
        <x:v>Run prompts with and without chunks</x:v>
      </x:c>
      <x:c r="C22" s="34" t="str">
        <x:v>Task</x:v>
      </x:c>
      <x:c r="D22" s="34" t="str">
        <x:v>Manual RAG</x:v>
      </x:c>
      <x:c r="E22" s="34" t="str">
        <x:v>Phase 3 Manual RAG</x:v>
      </x:c>
      <x:c r="F22" s="34" t="n">
        <x:v>3</x:v>
      </x:c>
      <x:c r="G22" s="34" t="n">
        <x:v>2</x:v>
      </x:c>
      <x:c r="H22" s="34" t="n">
        <x:v>7200</x:v>
      </x:c>
      <x:c r="I22" s="34" t="str">
        <x:v>High</x:v>
      </x:c>
      <x:c r="J22" s="34" t="str">
        <x:v>rag</x:v>
      </x:c>
      <x:c r="K22" s="34" t="str">
        <x:v>Sprint 4</x:v>
      </x:c>
      <x:c r="L22" s="34" t="str">
        <x:v>2026-06-14</x:v>
      </x:c>
      <x:c r="M22" s="34" t="str">
        <x:v>High</x:v>
      </x:c>
      <x:c r="N22" s="34" t="str">
        <x:v>Backlog</x:v>
      </x:c>
      <x:c r="O22" s="34" t="str">
        <x:v>Goal: Compare local answers with and without supplied context.
Acceptance Criteria:
- All 10 questions run both ways
- Outputs saved
- Differences highlighted
Output Artifact: outputs/manual_rag_comparison.md</x:v>
      </x:c>
    </x:row>
    <x:row r="23">
      <x:c r="A23" s="34" t="str">
        <x:v>LS-22</x:v>
      </x:c>
      <x:c r="B23" s="34" t="str">
        <x:v>Document grounding improvements and failures</x:v>
      </x:c>
      <x:c r="C23" s="34" t="str">
        <x:v>Task</x:v>
      </x:c>
      <x:c r="D23" s="34" t="str">
        <x:v>Manual RAG</x:v>
      </x:c>
      <x:c r="E23" s="34" t="str">
        <x:v>Phase 3 Manual RAG</x:v>
      </x:c>
      <x:c r="F23" s="34" t="n">
        <x:v>3</x:v>
      </x:c>
      <x:c r="G23" s="34" t="n">
        <x:v>2</x:v>
      </x:c>
      <x:c r="H23" s="34" t="n">
        <x:v>7200</x:v>
      </x:c>
      <x:c r="I23" s="34" t="str">
        <x:v>High</x:v>
      </x:c>
      <x:c r="J23" s="34" t="str">
        <x:v>docs</x:v>
      </x:c>
      <x:c r="K23" s="34" t="str">
        <x:v>Sprint 4</x:v>
      </x:c>
      <x:c r="L23" s="34" t="str">
        <x:v>2026-06-14</x:v>
      </x:c>
      <x:c r="M23" s="34" t="str">
        <x:v>High</x:v>
      </x:c>
      <x:c r="N23" s="34" t="str">
        <x:v>Backlog</x:v>
      </x:c>
      <x:c r="O23" s="34" t="str">
        <x:v>Goal: Write what manual RAG improved and where it still failed.
Acceptance Criteria:
- At least 3 improvements documented
- At least 3 failures documented
- Decision made on retrieval approach for MVP
Output Artifact: docs/manual_rag_findings.md</x:v>
      </x:c>
    </x:row>
    <x:row r="24">
      <x:c r="A24" s="34" t="str">
        <x:v>LS-23</x:v>
      </x:c>
      <x:c r="B24" s="34" t="str">
        <x:v>Build keyword search over chunks</x:v>
      </x:c>
      <x:c r="C24" s="34" t="str">
        <x:v>Task</x:v>
      </x:c>
      <x:c r="D24" s="34" t="str">
        <x:v>Basic Retrieval</x:v>
      </x:c>
      <x:c r="E24" s="34" t="str">
        <x:v>Phase 4 Basic Retrieval</x:v>
      </x:c>
      <x:c r="F24" s="34" t="n">
        <x:v>3</x:v>
      </x:c>
      <x:c r="G24" s="34" t="n">
        <x:v>2</x:v>
      </x:c>
      <x:c r="H24" s="34" t="n">
        <x:v>7200</x:v>
      </x:c>
      <x:c r="I24" s="34" t="str">
        <x:v>High</x:v>
      </x:c>
      <x:c r="J24" s="34" t="str">
        <x:v>retrieval</x:v>
      </x:c>
      <x:c r="K24" s="34" t="str">
        <x:v>Sprint 4</x:v>
      </x:c>
      <x:c r="L24" s="34" t="str">
        <x:v>2026-06-14</x:v>
      </x:c>
      <x:c r="M24" s="34" t="str">
        <x:v>High</x:v>
      </x:c>
      <x:c r="N24" s="34" t="str">
        <x:v>Backlog</x:v>
      </x:c>
      <x:c r="O24" s="34" t="str">
        <x:v>Goal: Create a simple retrieval baseline using keyword or lexical search.
Acceptance Criteria:
- Script accepts a question
- Script searches chunks.json
- Script returns candidate chunks
Output Artifact: scripts/search_chunks.py</x:v>
      </x:c>
    </x:row>
    <x:row r="25">
      <x:c r="A25" s="34" t="str">
        <x:v>LS-24</x:v>
      </x:c>
      <x:c r="B25" s="34" t="str">
        <x:v>Return top 5 chunks for a question</x:v>
      </x:c>
      <x:c r="C25" s="34" t="str">
        <x:v>Story</x:v>
      </x:c>
      <x:c r="D25" s="34" t="str">
        <x:v>Basic Retrieval</x:v>
      </x:c>
      <x:c r="E25" s="34" t="str">
        <x:v>Phase 4 Basic Retrieval</x:v>
      </x:c>
      <x:c r="F25" s="34" t="n">
        <x:v>3</x:v>
      </x:c>
      <x:c r="G25" s="34" t="n">
        <x:v>2</x:v>
      </x:c>
      <x:c r="H25" s="34" t="n">
        <x:v>7200</x:v>
      </x:c>
      <x:c r="I25" s="34" t="str">
        <x:v>High</x:v>
      </x:c>
      <x:c r="J25" s="34" t="str">
        <x:v>retrieval</x:v>
      </x:c>
      <x:c r="K25" s="34" t="str">
        <x:v>Sprint 5</x:v>
      </x:c>
      <x:c r="L25" s="34" t="str">
        <x:v>2026-06-21</x:v>
      </x:c>
      <x:c r="M25" s="34" t="str">
        <x:v>High</x:v>
      </x:c>
      <x:c r="N25" s="34" t="str">
        <x:v>Backlog</x:v>
      </x:c>
      <x:c r="O25" s="34" t="str">
        <x:v>Goal: As a user, I can ask a question and see the top 5 retrieved source chunks.
Acceptance Criteria:
- Question input supported
- Top 5 chunks displayed with source IDs
- Output is readable
Output Artifact: outputs/sample_retrieval_output.md</x:v>
      </x:c>
    </x:row>
    <x:row r="26">
      <x:c r="A26" s="34" t="str">
        <x:v>LS-25</x:v>
      </x:c>
      <x:c r="B26" s="34" t="str">
        <x:v>Log retrieved chunks to output file</x:v>
      </x:c>
      <x:c r="C26" s="34" t="str">
        <x:v>Task</x:v>
      </x:c>
      <x:c r="D26" s="34" t="str">
        <x:v>Basic Retrieval</x:v>
      </x:c>
      <x:c r="E26" s="34" t="str">
        <x:v>Phase 4 Basic Retrieval</x:v>
      </x:c>
      <x:c r="F26" s="34" t="n">
        <x:v>2</x:v>
      </x:c>
      <x:c r="G26" s="34" t="n">
        <x:v>1</x:v>
      </x:c>
      <x:c r="H26" s="34" t="n">
        <x:v>3600</x:v>
      </x:c>
      <x:c r="I26" s="34" t="str">
        <x:v>Medium</x:v>
      </x:c>
      <x:c r="J26" s="34" t="str">
        <x:v>retrieval</x:v>
      </x:c>
      <x:c r="K26" s="34" t="str">
        <x:v>Sprint 5</x:v>
      </x:c>
      <x:c r="L26" s="34" t="str">
        <x:v>2026-06-21</x:v>
      </x:c>
      <x:c r="M26" s="34" t="str">
        <x:v>Medium</x:v>
      </x:c>
      <x:c r="N26" s="34" t="str">
        <x:v>Backlog</x:v>
      </x:c>
      <x:c r="O26" s="34" t="str">
        <x:v>Goal: Save retrieval results so they can be evaluated later.
Acceptance Criteria:
- Results saved to outputs folder
- Includes question, timestamp, chunk IDs, scores if available
- File format is reusable
Output Artifact: outputs/retrieval_log.json or md</x:v>
      </x:c>
    </x:row>
    <x:row r="27">
      <x:c r="A27" s="34" t="str">
        <x:v>LS-26</x:v>
      </x:c>
      <x:c r="B27" s="34" t="str">
        <x:v>Test retrieval on 15 questions</x:v>
      </x:c>
      <x:c r="C27" s="34" t="str">
        <x:v>Task</x:v>
      </x:c>
      <x:c r="D27" s="34" t="str">
        <x:v>Basic Retrieval</x:v>
      </x:c>
      <x:c r="E27" s="34" t="str">
        <x:v>Phase 4 Basic Retrieval</x:v>
      </x:c>
      <x:c r="F27" s="34" t="n">
        <x:v>3</x:v>
      </x:c>
      <x:c r="G27" s="34" t="n">
        <x:v>2</x:v>
      </x:c>
      <x:c r="H27" s="34" t="n">
        <x:v>7200</x:v>
      </x:c>
      <x:c r="I27" s="34" t="str">
        <x:v>High</x:v>
      </x:c>
      <x:c r="J27" s="34" t="str">
        <x:v>evals</x:v>
      </x:c>
      <x:c r="K27" s="34" t="str">
        <x:v>Sprint 5</x:v>
      </x:c>
      <x:c r="L27" s="34" t="str">
        <x:v>2026-06-21</x:v>
      </x:c>
      <x:c r="M27" s="34" t="str">
        <x:v>High</x:v>
      </x:c>
      <x:c r="N27" s="34" t="str">
        <x:v>Backlog</x:v>
      </x:c>
      <x:c r="O27" s="34" t="str">
        <x:v>Goal: Run retrieval on a broader set of questions and inspect quality.
Acceptance Criteria:
- 15 questions tested
- Correct/incorrect retrieval noted
- Failure examples saved
Output Artifact: evals/retrieval_test_results.md</x:v>
      </x:c>
    </x:row>
    <x:row r="28">
      <x:c r="A28" s="34" t="str">
        <x:v>LS-27</x:v>
      </x:c>
      <x:c r="B28" s="34" t="str">
        <x:v>Create grounded answer prompt template</x:v>
      </x:c>
      <x:c r="C28" s="34" t="str">
        <x:v>Task</x:v>
      </x:c>
      <x:c r="D28" s="34" t="str">
        <x:v>Grounded Answer Generator</x:v>
      </x:c>
      <x:c r="E28" s="34" t="str">
        <x:v>Phase 5 Grounded Answers</x:v>
      </x:c>
      <x:c r="F28" s="34" t="n">
        <x:v>2</x:v>
      </x:c>
      <x:c r="G28" s="34" t="n">
        <x:v>1</x:v>
      </x:c>
      <x:c r="H28" s="34" t="n">
        <x:v>3600</x:v>
      </x:c>
      <x:c r="I28" s="34" t="str">
        <x:v>High</x:v>
      </x:c>
      <x:c r="J28" s="34" t="str">
        <x:v>rag</x:v>
      </x:c>
      <x:c r="K28" s="34" t="str">
        <x:v>Sprint 5</x:v>
      </x:c>
      <x:c r="L28" s="34" t="str">
        <x:v>2026-06-21</x:v>
      </x:c>
      <x:c r="M28" s="34" t="str">
        <x:v>Medium</x:v>
      </x:c>
      <x:c r="N28" s="34" t="str">
        <x:v>Backlog</x:v>
      </x:c>
      <x:c r="O28" s="34" t="str">
        <x:v>Goal: Create the strict prompt template that forces sourced, cautious answers.
Acceptance Criteria:
- Template says use only provided sources
- Template requires source IDs
- Template includes uncertainty and insufficient evidence section
Output Artifact: docs/grounded_answer_prompt.md</x:v>
      </x:c>
    </x:row>
    <x:row r="29">
      <x:c r="A29" s="34" t="str">
        <x:v>LS-28</x:v>
      </x:c>
      <x:c r="B29" s="34" t="str">
        <x:v>Connect retrieval output to model input</x:v>
      </x:c>
      <x:c r="C29" s="34" t="str">
        <x:v>Story</x:v>
      </x:c>
      <x:c r="D29" s="34" t="str">
        <x:v>Grounded Answer Generator</x:v>
      </x:c>
      <x:c r="E29" s="34" t="str">
        <x:v>Phase 5 Grounded Answers</x:v>
      </x:c>
      <x:c r="F29" s="34" t="n">
        <x:v>5</x:v>
      </x:c>
      <x:c r="G29" s="34" t="n">
        <x:v>4</x:v>
      </x:c>
      <x:c r="H29" s="34" t="n">
        <x:v>14400</x:v>
      </x:c>
      <x:c r="I29" s="34" t="str">
        <x:v>High</x:v>
      </x:c>
      <x:c r="J29" s="34" t="str">
        <x:v>rag</x:v>
      </x:c>
      <x:c r="K29" s="34" t="str">
        <x:v>Sprint 6</x:v>
      </x:c>
      <x:c r="L29" s="34" t="str">
        <x:v>2026-06-28</x:v>
      </x:c>
      <x:c r="M29" s="34" t="str">
        <x:v>High</x:v>
      </x:c>
      <x:c r="N29" s="34" t="str">
        <x:v>Backlog</x:v>
      </x:c>
      <x:c r="O29" s="34" t="str">
        <x:v>Goal: As a user, retrieved chunks are passed into the local model as answer context.
Acceptance Criteria:
- Retrieval output becomes model context
- Prompt template applied
- Command documented
Output Artifact: scripts/answer_with_context.py</x:v>
      </x:c>
    </x:row>
    <x:row r="30">
      <x:c r="A30" s="34" t="str">
        <x:v>LS-29</x:v>
      </x:c>
      <x:c r="B30" s="34" t="str">
        <x:v>Generate grounded answer with source IDs</x:v>
      </x:c>
      <x:c r="C30" s="34" t="str">
        <x:v>Story</x:v>
      </x:c>
      <x:c r="D30" s="34" t="str">
        <x:v>Grounded Answer Generator</x:v>
      </x:c>
      <x:c r="E30" s="34" t="str">
        <x:v>Phase 5 Grounded Answers</x:v>
      </x:c>
      <x:c r="F30" s="34" t="n">
        <x:v>3</x:v>
      </x:c>
      <x:c r="G30" s="34" t="n">
        <x:v>2</x:v>
      </x:c>
      <x:c r="H30" s="34" t="n">
        <x:v>7200</x:v>
      </x:c>
      <x:c r="I30" s="34" t="str">
        <x:v>High</x:v>
      </x:c>
      <x:c r="J30" s="34" t="str">
        <x:v>rag</x:v>
      </x:c>
      <x:c r="K30" s="34" t="str">
        <x:v>Sprint 6</x:v>
      </x:c>
      <x:c r="L30" s="34" t="str">
        <x:v>2026-06-28</x:v>
      </x:c>
      <x:c r="M30" s="34" t="str">
        <x:v>High</x:v>
      </x:c>
      <x:c r="N30" s="34" t="str">
        <x:v>Backlog</x:v>
      </x:c>
      <x:c r="O30" s="34" t="str">
        <x:v>Goal: As a user, I receive an answer that cites the source chunks it used.
Acceptance Criteria:
- Answer includes source IDs
- Answer is based on retrieved chunks
- Output saved
Output Artifact: outputs/sample_grounded_answer.md</x:v>
      </x:c>
    </x:row>
    <x:row r="31">
      <x:c r="A31" s="34" t="str">
        <x:v>LS-30</x:v>
      </x:c>
      <x:c r="B31" s="34" t="str">
        <x:v>Add uncertainty and insufficient evidence section</x:v>
      </x:c>
      <x:c r="C31" s="34" t="str">
        <x:v>Task</x:v>
      </x:c>
      <x:c r="D31" s="34" t="str">
        <x:v>Grounded Answer Generator</x:v>
      </x:c>
      <x:c r="E31" s="34" t="str">
        <x:v>Phase 5 Grounded Answers</x:v>
      </x:c>
      <x:c r="F31" s="34" t="n">
        <x:v>2</x:v>
      </x:c>
      <x:c r="G31" s="34" t="n">
        <x:v>1</x:v>
      </x:c>
      <x:c r="H31" s="34" t="n">
        <x:v>3600</x:v>
      </x:c>
      <x:c r="I31" s="34" t="str">
        <x:v>High</x:v>
      </x:c>
      <x:c r="J31" s="34" t="str">
        <x:v>rag</x:v>
      </x:c>
      <x:c r="K31" s="34" t="str">
        <x:v>Sprint 6</x:v>
      </x:c>
      <x:c r="L31" s="34" t="str">
        <x:v>2026-06-28</x:v>
      </x:c>
      <x:c r="M31" s="34" t="str">
        <x:v>Medium</x:v>
      </x:c>
      <x:c r="N31" s="34" t="str">
        <x:v>Backlog</x:v>
      </x:c>
      <x:c r="O31" s="34" t="str">
        <x:v>Goal: Make the model explicitly state uncertainty and source limitations.
Acceptance Criteria:
- Output includes uncertainty section
- Output includes what sources do not establish
- At least one refusal/insufficient evidence example tested
Output Artifact: outputs/insufficient_evidence_example.md</x:v>
      </x:c>
    </x:row>
    <x:row r="32">
      <x:c r="A32" s="34" t="str">
        <x:v>LS-31</x:v>
      </x:c>
      <x:c r="B32" s="34" t="str">
        <x:v>Save generated answers to outputs folder</x:v>
      </x:c>
      <x:c r="C32" s="34" t="str">
        <x:v>Task</x:v>
      </x:c>
      <x:c r="D32" s="34" t="str">
        <x:v>Grounded Answer Generator</x:v>
      </x:c>
      <x:c r="E32" s="34" t="str">
        <x:v>Phase 5 Grounded Answers</x:v>
      </x:c>
      <x:c r="F32" s="34" t="n">
        <x:v>2</x:v>
      </x:c>
      <x:c r="G32" s="34" t="n">
        <x:v>1</x:v>
      </x:c>
      <x:c r="H32" s="34" t="n">
        <x:v>3600</x:v>
      </x:c>
      <x:c r="I32" s="34" t="str">
        <x:v>Medium</x:v>
      </x:c>
      <x:c r="J32" s="34" t="str">
        <x:v>rag</x:v>
      </x:c>
      <x:c r="K32" s="34" t="str">
        <x:v>Sprint 6</x:v>
      </x:c>
      <x:c r="L32" s="34" t="str">
        <x:v>2026-06-28</x:v>
      </x:c>
      <x:c r="M32" s="34" t="str">
        <x:v>Medium</x:v>
      </x:c>
      <x:c r="N32" s="34" t="str">
        <x:v>Backlog</x:v>
      </x:c>
      <x:c r="O32" s="34" t="str">
        <x:v>Goal: Ensure generated answers are saved consistently for review and case study evidence.
Acceptance Criteria:
- File naming convention exists
- Question, sources, model, and answer are saved
- At least 5 sample answers saved
Output Artifact: outputs/grounded_answers/</x:v>
      </x:c>
    </x:row>
    <x:row r="33">
      <x:c r="A33" s="34" t="str">
        <x:v>LS-32</x:v>
      </x:c>
      <x:c r="B33" s="34" t="str">
        <x:v>Create 20 question MVP eval set</x:v>
      </x:c>
      <x:c r="C33" s="34" t="str">
        <x:v>Task</x:v>
      </x:c>
      <x:c r="D33" s="34" t="str">
        <x:v>Mini Evaluation</x:v>
      </x:c>
      <x:c r="E33" s="34" t="str">
        <x:v>Phase 6 Evaluation</x:v>
      </x:c>
      <x:c r="F33" s="34" t="n">
        <x:v>5</x:v>
      </x:c>
      <x:c r="G33" s="34" t="n">
        <x:v>4</x:v>
      </x:c>
      <x:c r="H33" s="34" t="n">
        <x:v>14400</x:v>
      </x:c>
      <x:c r="I33" s="34" t="str">
        <x:v>High</x:v>
      </x:c>
      <x:c r="J33" s="34" t="str">
        <x:v>evals</x:v>
      </x:c>
      <x:c r="K33" s="34" t="str">
        <x:v>Sprint 7</x:v>
      </x:c>
      <x:c r="L33" s="34" t="str">
        <x:v>2026-07-05</x:v>
      </x:c>
      <x:c r="M33" s="34" t="str">
        <x:v>High</x:v>
      </x:c>
      <x:c r="N33" s="34" t="str">
        <x:v>Backlog</x:v>
      </x:c>
      <x:c r="O33" s="34" t="str">
        <x:v>Goal: Create a compact evaluation set for MVP quality testing.
Acceptance Criteria:
- 20 questions created
- Expected answer traits included
- Questions cover factual, interpretive, comparison, and insufficient evidence cases
Output Artifact: evals/mvp_eval_set.csv</x:v>
      </x:c>
    </x:row>
    <x:row r="34">
      <x:c r="A34" s="34" t="str">
        <x:v>LS-33</x:v>
      </x:c>
      <x:c r="B34" s="34" t="str">
        <x:v>Define scoring rubric</x:v>
      </x:c>
      <x:c r="C34" s="34" t="str">
        <x:v>Task</x:v>
      </x:c>
      <x:c r="D34" s="34" t="str">
        <x:v>Mini Evaluation</x:v>
      </x:c>
      <x:c r="E34" s="34" t="str">
        <x:v>Phase 6 Evaluation</x:v>
      </x:c>
      <x:c r="F34" s="34" t="n">
        <x:v>3</x:v>
      </x:c>
      <x:c r="G34" s="34" t="n">
        <x:v>2</x:v>
      </x:c>
      <x:c r="H34" s="34" t="n">
        <x:v>7200</x:v>
      </x:c>
      <x:c r="I34" s="34" t="str">
        <x:v>High</x:v>
      </x:c>
      <x:c r="J34" s="34" t="str">
        <x:v>evals</x:v>
      </x:c>
      <x:c r="K34" s="34" t="str">
        <x:v>Sprint 7</x:v>
      </x:c>
      <x:c r="L34" s="34" t="str">
        <x:v>2026-07-05</x:v>
      </x:c>
      <x:c r="M34" s="34" t="str">
        <x:v>Medium</x:v>
      </x:c>
      <x:c r="N34" s="34" t="str">
        <x:v>Backlog</x:v>
      </x:c>
      <x:c r="O34" s="34" t="str">
        <x:v>Goal: Define how outputs will be judged.
Acceptance Criteria:
- Rubric includes retrieval correctness
- Rubric includes hallucination/unsupported claim check
- Rubric includes usefulness score
Output Artifact: evals/scoring_rubric.md</x:v>
      </x:c>
    </x:row>
    <x:row r="35">
      <x:c r="A35" s="34" t="str">
        <x:v>LS-34</x:v>
      </x:c>
      <x:c r="B35" s="34" t="str">
        <x:v>Run mini eval local only vs local RAG</x:v>
      </x:c>
      <x:c r="C35" s="34" t="str">
        <x:v>Task</x:v>
      </x:c>
      <x:c r="D35" s="34" t="str">
        <x:v>Mini Evaluation</x:v>
      </x:c>
      <x:c r="E35" s="34" t="str">
        <x:v>Phase 6 Evaluation</x:v>
      </x:c>
      <x:c r="F35" s="34" t="n">
        <x:v>3</x:v>
      </x:c>
      <x:c r="G35" s="34" t="n">
        <x:v>2</x:v>
      </x:c>
      <x:c r="H35" s="34" t="n">
        <x:v>7200</x:v>
      </x:c>
      <x:c r="I35" s="34" t="str">
        <x:v>High</x:v>
      </x:c>
      <x:c r="J35" s="34" t="str">
        <x:v>evals</x:v>
      </x:c>
      <x:c r="K35" s="34" t="str">
        <x:v>Sprint 7</x:v>
      </x:c>
      <x:c r="L35" s="34" t="str">
        <x:v>2026-07-05</x:v>
      </x:c>
      <x:c r="M35" s="34" t="str">
        <x:v>High</x:v>
      </x:c>
      <x:c r="N35" s="34" t="str">
        <x:v>Backlog</x:v>
      </x:c>
      <x:c r="O35" s="34" t="str">
        <x:v>Goal: Compare local model answers with and without retrieval.
Acceptance Criteria:
- Same questions run in both modes
- Scores recorded
- At least 5 failures inspected
Output Artifact: evals/mvp_eval_results.csv</x:v>
      </x:c>
    </x:row>
    <x:row r="36">
      <x:c r="A36" s="34" t="str">
        <x:v>LS-35</x:v>
      </x:c>
      <x:c r="B36" s="34" t="str">
        <x:v>Write failure taxonomy</x:v>
      </x:c>
      <x:c r="C36" s="34" t="str">
        <x:v>Task</x:v>
      </x:c>
      <x:c r="D36" s="34" t="str">
        <x:v>Mini Evaluation</x:v>
      </x:c>
      <x:c r="E36" s="34" t="str">
        <x:v>Phase 6 Evaluation</x:v>
      </x:c>
      <x:c r="F36" s="34" t="n">
        <x:v>3</x:v>
      </x:c>
      <x:c r="G36" s="34" t="n">
        <x:v>2</x:v>
      </x:c>
      <x:c r="H36" s="34" t="n">
        <x:v>7200</x:v>
      </x:c>
      <x:c r="I36" s="34" t="str">
        <x:v>High</x:v>
      </x:c>
      <x:c r="J36" s="34" t="str">
        <x:v>evals</x:v>
      </x:c>
      <x:c r="K36" s="34" t="str">
        <x:v>Sprint 8</x:v>
      </x:c>
      <x:c r="L36" s="34" t="str">
        <x:v>2026-07-12</x:v>
      </x:c>
      <x:c r="M36" s="34" t="str">
        <x:v>Medium</x:v>
      </x:c>
      <x:c r="N36" s="34" t="str">
        <x:v>Backlog</x:v>
      </x:c>
      <x:c r="O36" s="34" t="str">
        <x:v>Goal: Categorize the failure modes seen during evaluation.
Acceptance Criteria:
- Failure categories defined
- Examples included
- Mitigations proposed
Output Artifact: docs/failure_taxonomy.md</x:v>
      </x:c>
    </x:row>
    <x:row r="37">
      <x:c r="A37" s="34" t="str">
        <x:v>LS-36</x:v>
      </x:c>
      <x:c r="B37" s="34" t="str">
        <x:v>Summarize MVP eval findings</x:v>
      </x:c>
      <x:c r="C37" s="34" t="str">
        <x:v>Task</x:v>
      </x:c>
      <x:c r="D37" s="34" t="str">
        <x:v>Mini Evaluation</x:v>
      </x:c>
      <x:c r="E37" s="34" t="str">
        <x:v>Phase 6 Evaluation</x:v>
      </x:c>
      <x:c r="F37" s="34" t="n">
        <x:v>3</x:v>
      </x:c>
      <x:c r="G37" s="34" t="n">
        <x:v>2</x:v>
      </x:c>
      <x:c r="H37" s="34" t="n">
        <x:v>7200</x:v>
      </x:c>
      <x:c r="I37" s="34" t="str">
        <x:v>High</x:v>
      </x:c>
      <x:c r="J37" s="34" t="str">
        <x:v>docs</x:v>
      </x:c>
      <x:c r="K37" s="34" t="str">
        <x:v>Sprint 8</x:v>
      </x:c>
      <x:c r="L37" s="34" t="str">
        <x:v>2026-07-12</x:v>
      </x:c>
      <x:c r="M37" s="34" t="str">
        <x:v>Medium</x:v>
      </x:c>
      <x:c r="N37" s="34" t="str">
        <x:v>Backlog</x:v>
      </x:c>
      <x:c r="O37" s="34" t="str">
        <x:v>Goal: Write a concise eval report that can be used in the portfolio case study.
Acceptance Criteria:
- Summary includes what worked
- Summary includes what failed
- Summary includes next improvements
Output Artifact: docs/mvp_eval_summary.md</x:v>
      </x:c>
    </x:row>
    <x:row r="38">
      <x:c r="A38" s="34" t="str">
        <x:v>LS-37</x:v>
      </x:c>
      <x:c r="B38" s="34" t="str">
        <x:v>Install QVAC SDK</x:v>
      </x:c>
      <x:c r="C38" s="34" t="str">
        <x:v>Spike</x:v>
      </x:c>
      <x:c r="D38" s="34" t="str">
        <x:v>QVAC Spike</x:v>
      </x:c>
      <x:c r="E38" s="34" t="str">
        <x:v>Phase 7 QVAC Spike</x:v>
      </x:c>
      <x:c r="F38" s="34" t="n">
        <x:v>3</x:v>
      </x:c>
      <x:c r="G38" s="34" t="n">
        <x:v>2</x:v>
      </x:c>
      <x:c r="H38" s="34" t="n">
        <x:v>7200</x:v>
      </x:c>
      <x:c r="I38" s="34" t="str">
        <x:v>Medium</x:v>
      </x:c>
      <x:c r="J38" s="34" t="str">
        <x:v>qvac</x:v>
      </x:c>
      <x:c r="K38" s="34" t="str">
        <x:v>Sprint 8</x:v>
      </x:c>
      <x:c r="L38" s="34" t="str">
        <x:v>2026-07-12</x:v>
      </x:c>
      <x:c r="M38" s="34" t="str">
        <x:v>High</x:v>
      </x:c>
      <x:c r="N38" s="34" t="str">
        <x:v>Backlog</x:v>
      </x:c>
      <x:c r="O38" s="34" t="str">
        <x:v>Goal: Attempt to install Tether's QVAC SDK and document setup.
Acceptance Criteria:
- Installation attempted
- Commands captured
- Blockers documented if install fails
Output Artifact: docs/qvac_setup_notes.md</x:v>
      </x:c>
    </x:row>
    <x:row r="39">
      <x:c r="A39" s="34" t="str">
        <x:v>LS-38</x:v>
      </x:c>
      <x:c r="B39" s="34" t="str">
        <x:v>Run QVAC hello world or capture blocker</x:v>
      </x:c>
      <x:c r="C39" s="34" t="str">
        <x:v>Spike</x:v>
      </x:c>
      <x:c r="D39" s="34" t="str">
        <x:v>QVAC Spike</x:v>
      </x:c>
      <x:c r="E39" s="34" t="str">
        <x:v>Phase 7 QVAC Spike</x:v>
      </x:c>
      <x:c r="F39" s="34" t="n">
        <x:v>3</x:v>
      </x:c>
      <x:c r="G39" s="34" t="n">
        <x:v>2</x:v>
      </x:c>
      <x:c r="H39" s="34" t="n">
        <x:v>7200</x:v>
      </x:c>
      <x:c r="I39" s="34" t="str">
        <x:v>Medium</x:v>
      </x:c>
      <x:c r="J39" s="34" t="str">
        <x:v>qvac</x:v>
      </x:c>
      <x:c r="K39" s="34" t="str">
        <x:v>Sprint 8</x:v>
      </x:c>
      <x:c r="L39" s="34" t="str">
        <x:v>2026-07-12</x:v>
      </x:c>
      <x:c r="M39" s="34" t="str">
        <x:v>High</x:v>
      </x:c>
      <x:c r="N39" s="34" t="str">
        <x:v>Backlog</x:v>
      </x:c>
      <x:c r="O39" s="34" t="str">
        <x:v>Goal: Try a minimal local completion with QVAC or capture why it could not run.
Acceptance Criteria:
- Hello-world completion attempted
- Output saved or blocker documented
- No MVP dependency created
Output Artifact: outputs/qvac_hello_world.md or docs/qvac_blockers.md</x:v>
      </x:c>
    </x:row>
    <x:row r="40">
      <x:c r="A40" s="34" t="str">
        <x:v>LS-39</x:v>
      </x:c>
      <x:c r="B40" s="34" t="str">
        <x:v>Write QVAC vs Ollama comparison memo</x:v>
      </x:c>
      <x:c r="C40" s="34" t="str">
        <x:v>Task</x:v>
      </x:c>
      <x:c r="D40" s="34" t="str">
        <x:v>QVAC Spike</x:v>
      </x:c>
      <x:c r="E40" s="34" t="str">
        <x:v>Phase 7 QVAC Spike</x:v>
      </x:c>
      <x:c r="F40" s="34" t="n">
        <x:v>2</x:v>
      </x:c>
      <x:c r="G40" s="34" t="n">
        <x:v>1</x:v>
      </x:c>
      <x:c r="H40" s="34" t="n">
        <x:v>3600</x:v>
      </x:c>
      <x:c r="I40" s="34" t="str">
        <x:v>Medium</x:v>
      </x:c>
      <x:c r="J40" s="34" t="str">
        <x:v>qvac</x:v>
      </x:c>
      <x:c r="K40" s="34" t="str">
        <x:v>Sprint 8</x:v>
      </x:c>
      <x:c r="L40" s="34" t="str">
        <x:v>2026-07-12</x:v>
      </x:c>
      <x:c r="M40" s="34" t="str">
        <x:v>Medium</x:v>
      </x:c>
      <x:c r="N40" s="34" t="str">
        <x:v>Backlog</x:v>
      </x:c>
      <x:c r="O40" s="34" t="str">
        <x:v>Goal: Compare QVAC and Ollama from an implementation/product perspective.
Acceptance Criteria:
- Setup difficulty compared
- Developer experience compared
- Recommendation for MVP+1 recorded
Output Artifact: docs/qvac_vs_ollama.md</x:v>
      </x:c>
    </x:row>
    <x:row r="41">
      <x:c r="A41" s="34" t="str">
        <x:v>LS-40</x:v>
      </x:c>
      <x:c r="B41" s="34" t="str">
        <x:v>Write product brief</x:v>
      </x:c>
      <x:c r="C41" s="34" t="str">
        <x:v>Task</x:v>
      </x:c>
      <x:c r="D41" s="34" t="str">
        <x:v>Portfolio Package</x:v>
      </x:c>
      <x:c r="E41" s="34" t="str">
        <x:v>Phase 8 Portfolio</x:v>
      </x:c>
      <x:c r="F41" s="34" t="n">
        <x:v>3</x:v>
      </x:c>
      <x:c r="G41" s="34" t="n">
        <x:v>2</x:v>
      </x:c>
      <x:c r="H41" s="34" t="n">
        <x:v>7200</x:v>
      </x:c>
      <x:c r="I41" s="34" t="str">
        <x:v>High</x:v>
      </x:c>
      <x:c r="J41" s="34" t="str">
        <x:v>portfolio</x:v>
      </x:c>
      <x:c r="K41" s="34" t="str">
        <x:v>Sprint 9</x:v>
      </x:c>
      <x:c r="L41" s="34" t="str">
        <x:v>2026-07-19</x:v>
      </x:c>
      <x:c r="M41" s="34" t="str">
        <x:v>Medium</x:v>
      </x:c>
      <x:c r="N41" s="34" t="str">
        <x:v>Backlog</x:v>
      </x:c>
      <x:c r="O41" s="34" t="str">
        <x:v>Goal: Create a concise product brief for Local Scriptorium.
Acceptance Criteria:
- Problem, user, use cases, non-goals, success metrics included
- Brief understandable to nontechnical reader
- Limitations stated
Output Artifact: docs/product_brief.md</x:v>
      </x:c>
    </x:row>
    <x:row r="42">
      <x:c r="A42" s="34" t="str">
        <x:v>LS-41</x:v>
      </x:c>
      <x:c r="B42" s="34" t="str">
        <x:v>Create architecture diagram</x:v>
      </x:c>
      <x:c r="C42" s="34" t="str">
        <x:v>Task</x:v>
      </x:c>
      <x:c r="D42" s="34" t="str">
        <x:v>Portfolio Package</x:v>
      </x:c>
      <x:c r="E42" s="34" t="str">
        <x:v>Phase 8 Portfolio</x:v>
      </x:c>
      <x:c r="F42" s="34" t="n">
        <x:v>3</x:v>
      </x:c>
      <x:c r="G42" s="34" t="n">
        <x:v>2</x:v>
      </x:c>
      <x:c r="H42" s="34" t="n">
        <x:v>7200</x:v>
      </x:c>
      <x:c r="I42" s="34" t="str">
        <x:v>High</x:v>
      </x:c>
      <x:c r="J42" s="34" t="str">
        <x:v>portfolio</x:v>
      </x:c>
      <x:c r="K42" s="34" t="str">
        <x:v>Sprint 9</x:v>
      </x:c>
      <x:c r="L42" s="34" t="str">
        <x:v>2026-07-19</x:v>
      </x:c>
      <x:c r="M42" s="34" t="str">
        <x:v>Medium</x:v>
      </x:c>
      <x:c r="N42" s="34" t="str">
        <x:v>Backlog</x:v>
      </x:c>
      <x:c r="O42" s="34" t="str">
        <x:v>Goal: Create a simple architecture diagram showing data flow and local/cloud boundaries.
Acceptance Criteria:
- Diagram shows sources, chunking, retrieval, local model, output, eval
- Local boundary is explicit
- Diagram included in README or docs
Output Artifact: docs/architecture_diagram.png or md</x:v>
      </x:c>
    </x:row>
    <x:row r="43">
      <x:c r="A43" s="34" t="str">
        <x:v>LS-42</x:v>
      </x:c>
      <x:c r="B43" s="34" t="str">
        <x:v>Create risk register</x:v>
      </x:c>
      <x:c r="C43" s="34" t="str">
        <x:v>Task</x:v>
      </x:c>
      <x:c r="D43" s="34" t="str">
        <x:v>Portfolio Package</x:v>
      </x:c>
      <x:c r="E43" s="34" t="str">
        <x:v>Phase 8 Portfolio</x:v>
      </x:c>
      <x:c r="F43" s="34" t="n">
        <x:v>3</x:v>
      </x:c>
      <x:c r="G43" s="34" t="n">
        <x:v>2</x:v>
      </x:c>
      <x:c r="H43" s="34" t="n">
        <x:v>7200</x:v>
      </x:c>
      <x:c r="I43" s="34" t="str">
        <x:v>High</x:v>
      </x:c>
      <x:c r="J43" s="34" t="str">
        <x:v>risk</x:v>
      </x:c>
      <x:c r="K43" s="34" t="str">
        <x:v>Sprint 9</x:v>
      </x:c>
      <x:c r="L43" s="34" t="str">
        <x:v>2026-07-19</x:v>
      </x:c>
      <x:c r="M43" s="34" t="str">
        <x:v>Medium</x:v>
      </x:c>
      <x:c r="N43" s="34" t="str">
        <x:v>Backlog</x:v>
      </x:c>
      <x:c r="O43" s="34" t="str">
        <x:v>Goal: Document implementation and product risks.
Acceptance Criteria:
- At least 8 risks listed
- Each risk has mitigation
- Privacy, hallucination, retrieval, and hardware constraints included
Output Artifact: docs/risk_register.md</x:v>
      </x:c>
    </x:row>
    <x:row r="44">
      <x:c r="A44" s="34" t="str">
        <x:v>LS-43</x:v>
      </x:c>
      <x:c r="B44" s="34" t="str">
        <x:v>Write README case study</x:v>
      </x:c>
      <x:c r="C44" s="34" t="str">
        <x:v>Task</x:v>
      </x:c>
      <x:c r="D44" s="34" t="str">
        <x:v>Portfolio Package</x:v>
      </x:c>
      <x:c r="E44" s="34" t="str">
        <x:v>Phase 8 Portfolio</x:v>
      </x:c>
      <x:c r="F44" s="34" t="n">
        <x:v>5</x:v>
      </x:c>
      <x:c r="G44" s="34" t="n">
        <x:v>4</x:v>
      </x:c>
      <x:c r="H44" s="34" t="n">
        <x:v>14400</x:v>
      </x:c>
      <x:c r="I44" s="34" t="str">
        <x:v>High</x:v>
      </x:c>
      <x:c r="J44" s="34" t="str">
        <x:v>portfolio</x:v>
      </x:c>
      <x:c r="K44" s="34" t="str">
        <x:v>Sprint 9</x:v>
      </x:c>
      <x:c r="L44" s="34" t="str">
        <x:v>2026-07-19</x:v>
      </x:c>
      <x:c r="M44" s="34" t="str">
        <x:v>High</x:v>
      </x:c>
      <x:c r="N44" s="34" t="str">
        <x:v>Backlog</x:v>
      </x:c>
      <x:c r="O44" s="34" t="str">
        <x:v>Goal: Write the main portfolio case study.
Acceptance Criteria:
- README explains mission, architecture, demo workflow, eval, failures, and next steps
- README avoids overclaiming
- README includes sample outputs
Output Artifact: README.md</x:v>
      </x:c>
    </x:row>
    <x:row r="45">
      <x:c r="A45" s="34" t="str">
        <x:v>LS-44</x:v>
      </x:c>
      <x:c r="B45" s="34" t="str">
        <x:v>Create final demo script and screenshots</x:v>
      </x:c>
      <x:c r="C45" s="34" t="str">
        <x:v>Task</x:v>
      </x:c>
      <x:c r="D45" s="34" t="str">
        <x:v>Portfolio Package</x:v>
      </x:c>
      <x:c r="E45" s="34" t="str">
        <x:v>Phase 8 Portfolio</x:v>
      </x:c>
      <x:c r="F45" s="34" t="n">
        <x:v>3</x:v>
      </x:c>
      <x:c r="G45" s="34" t="n">
        <x:v>2</x:v>
      </x:c>
      <x:c r="H45" s="34" t="n">
        <x:v>7200</x:v>
      </x:c>
      <x:c r="I45" s="34" t="str">
        <x:v>High</x:v>
      </x:c>
      <x:c r="J45" s="34" t="str">
        <x:v>portfolio</x:v>
      </x:c>
      <x:c r="K45" s="34" t="str">
        <x:v>Sprint 9</x:v>
      </x:c>
      <x:c r="L45" s="34" t="str">
        <x:v>2026-07-19</x:v>
      </x:c>
      <x:c r="M45" s="34" t="str">
        <x:v>Medium</x:v>
      </x:c>
      <x:c r="N45" s="34" t="str">
        <x:v>Backlog</x:v>
      </x:c>
      <x:c r="O45" s="34" t="str">
        <x:v>Goal: Prepare a repeatable demo and capture evidence.
Acceptance Criteria:
- Demo script has exact commands
- Screenshots or output examples saved
- MVP completion criteria checked
Output Artifact: docs/demo_script.md and screenshots</x:v>
      </x:c>
    </x:row>
  </x:sheetData>
  <x:pageMargins left="0.7" right="0.7" top="0.75" bottom="0.75" header="0.3" footer="0.3"/>
  <x:tableParts count="1">
    <x:tablePart xmlns:r="http://schemas.openxmlformats.org/officeDocument/2006/relationships" r:id="R96daae320fb048b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0" hidden="0" customWidth="1"/>
    <x:col min="4" max="4" width="13" hidden="0" customWidth="1"/>
    <x:col min="5" max="5" width="14" hidden="0" customWidth="1"/>
    <x:col min="6" max="6" width="13" hidden="0" customWidth="1"/>
    <x:col min="7" max="7" width="13" hidden="0" customWidth="1"/>
    <x:col min="8" max="8" width="60" hidden="0" customWidth="1"/>
  </x:cols>
  <x:sheetData>
    <x:row r="1">
      <x:c r="A1" s="32" t="str">
        <x:v>Phase</x:v>
      </x:c>
      <x:c r="B1" s="32" t="str">
        <x:v>Target Sprint</x:v>
      </x:c>
      <x:c r="C1" s="32" t="str">
        <x:v>Tickets</x:v>
      </x:c>
      <x:c r="D1" s="32" t="str">
        <x:v>Story Points</x:v>
      </x:c>
      <x:c r="E1" s="32" t="str">
        <x:v>Estimate Hours</x:v>
      </x:c>
      <x:c r="F1" s="32" t="str">
        <x:v>Start Due</x:v>
      </x:c>
      <x:c r="G1" s="32" t="str">
        <x:v>End Due</x:v>
      </x:c>
      <x:c r="H1" s="33" t="str">
        <x:v>Goal</x:v>
      </x:c>
    </x:row>
    <x:row r="2">
      <x:c r="A2" s="34" t="str">
        <x:v>Phase 0 Setup</x:v>
      </x:c>
      <x:c r="B2" s="34" t="str">
        <x:v>Sprint 0</x:v>
      </x:c>
      <x:c r="C2" s="34" t="n">
        <x:v>5</x:v>
      </x:c>
      <x:c r="D2" s="34" t="n">
        <x:v>5</x:v>
      </x:c>
      <x:c r="E2" s="34" t="n">
        <x:v>3</x:v>
      </x:c>
      <x:c r="F2" s="34" t="str">
        <x:v>2026-05-17</x:v>
      </x:c>
      <x:c r="G2" s="34" t="str">
        <x:v>2026-05-17</x:v>
      </x:c>
      <x:c r="H2" s="34" t="str">
        <x:v>Project system and importable backlog.</x:v>
      </x:c>
    </x:row>
    <x:row r="3">
      <x:c r="A3" s="34" t="str">
        <x:v>Phase 1 Local Inference</x:v>
      </x:c>
      <x:c r="B3" s="34" t="str">
        <x:v>Sprint 1</x:v>
      </x:c>
      <x:c r="C3" s="34" t="n">
        <x:v>6</x:v>
      </x:c>
      <x:c r="D3" s="34" t="n">
        <x:v>13</x:v>
      </x:c>
      <x:c r="E3" s="34" t="n">
        <x:v>7.5</x:v>
      </x:c>
      <x:c r="F3" s="34" t="str">
        <x:v>2026-05-24</x:v>
      </x:c>
      <x:c r="G3" s="34" t="str">
        <x:v>2026-05-24</x:v>
      </x:c>
      <x:c r="H3" s="34" t="str">
        <x:v>Run local model and compare with cloud output.</x:v>
      </x:c>
    </x:row>
    <x:row r="4">
      <x:c r="A4" s="34" t="str">
        <x:v>Phase 2 Source Corpus</x:v>
      </x:c>
      <x:c r="B4" s="34" t="str">
        <x:v>Sprint 2, Sprint 3</x:v>
      </x:c>
      <x:c r="C4" s="34" t="n">
        <x:v>7</x:v>
      </x:c>
      <x:c r="D4" s="34" t="n">
        <x:v>16</x:v>
      </x:c>
      <x:c r="E4" s="34" t="n">
        <x:v>10.75</x:v>
      </x:c>
      <x:c r="F4" s="34" t="str">
        <x:v>2026-05-31</x:v>
      </x:c>
      <x:c r="G4" s="34" t="str">
        <x:v>2026-06-07</x:v>
      </x:c>
      <x:c r="H4" s="34" t="str">
        <x:v>Prepare source files and chunks.</x:v>
      </x:c>
    </x:row>
    <x:row r="5">
      <x:c r="A5" s="34" t="str">
        <x:v>Phase 3 Manual RAG</x:v>
      </x:c>
      <x:c r="B5" s="34" t="str">
        <x:v>Sprint 3, Sprint 4</x:v>
      </x:c>
      <x:c r="C5" s="34" t="n">
        <x:v>4</x:v>
      </x:c>
      <x:c r="D5" s="34" t="n">
        <x:v>10</x:v>
      </x:c>
      <x:c r="E5" s="34" t="n">
        <x:v>6</x:v>
      </x:c>
      <x:c r="F5" s="34" t="str">
        <x:v>2026-06-07</x:v>
      </x:c>
      <x:c r="G5" s="34" t="str">
        <x:v>2026-06-14</x:v>
      </x:c>
      <x:c r="H5" s="34" t="str">
        <x:v>Understand grounding before automation.</x:v>
      </x:c>
    </x:row>
    <x:row r="6">
      <x:c r="A6" s="34" t="str">
        <x:v>Phase 4 Basic Retrieval</x:v>
      </x:c>
      <x:c r="B6" s="34" t="str">
        <x:v>Sprint 4, Sprint 5</x:v>
      </x:c>
      <x:c r="C6" s="34" t="n">
        <x:v>4</x:v>
      </x:c>
      <x:c r="D6" s="34" t="n">
        <x:v>11</x:v>
      </x:c>
      <x:c r="E6" s="34" t="n">
        <x:v>7</x:v>
      </x:c>
      <x:c r="F6" s="34" t="str">
        <x:v>2026-06-14</x:v>
      </x:c>
      <x:c r="G6" s="34" t="str">
        <x:v>2026-06-21</x:v>
      </x:c>
      <x:c r="H6" s="34" t="str">
        <x:v>Retrieve relevant chunks automatically.</x:v>
      </x:c>
    </x:row>
    <x:row r="7">
      <x:c r="A7" s="34" t="str">
        <x:v>Phase 5 Grounded Answers</x:v>
      </x:c>
      <x:c r="B7" s="34" t="str">
        <x:v>Sprint 5, Sprint 6</x:v>
      </x:c>
      <x:c r="C7" s="34" t="n">
        <x:v>5</x:v>
      </x:c>
      <x:c r="D7" s="34" t="n">
        <x:v>14</x:v>
      </x:c>
      <x:c r="E7" s="34" t="n">
        <x:v>9</x:v>
      </x:c>
      <x:c r="F7" s="34" t="str">
        <x:v>2026-06-21</x:v>
      </x:c>
      <x:c r="G7" s="34" t="str">
        <x:v>2026-06-28</x:v>
      </x:c>
      <x:c r="H7" s="34" t="str">
        <x:v>Generate sourced answers from retrieved context.</x:v>
      </x:c>
    </x:row>
    <x:row r="8">
      <x:c r="A8" s="34" t="str">
        <x:v>Phase 6 Evaluation</x:v>
      </x:c>
      <x:c r="B8" s="34" t="str">
        <x:v>Sprint 7, Sprint 8</x:v>
      </x:c>
      <x:c r="C8" s="34" t="n">
        <x:v>5</x:v>
      </x:c>
      <x:c r="D8" s="34" t="n">
        <x:v>17</x:v>
      </x:c>
      <x:c r="E8" s="34" t="n">
        <x:v>12</x:v>
      </x:c>
      <x:c r="F8" s="34" t="str">
        <x:v>2026-07-05</x:v>
      </x:c>
      <x:c r="G8" s="34" t="str">
        <x:v>2026-07-12</x:v>
      </x:c>
      <x:c r="H8" s="34" t="str">
        <x:v>Measure quality and failure modes.</x:v>
      </x:c>
    </x:row>
    <x:row r="9">
      <x:c r="A9" s="34" t="str">
        <x:v>Phase 7 QVAC Spike</x:v>
      </x:c>
      <x:c r="B9" s="34" t="str">
        <x:v>Sprint 8</x:v>
      </x:c>
      <x:c r="C9" s="34" t="n">
        <x:v>3</x:v>
      </x:c>
      <x:c r="D9" s="34" t="n">
        <x:v>8</x:v>
      </x:c>
      <x:c r="E9" s="34" t="n">
        <x:v>5</x:v>
      </x:c>
      <x:c r="F9" s="34" t="str">
        <x:v>2026-07-12</x:v>
      </x:c>
      <x:c r="G9" s="34" t="str">
        <x:v>2026-07-12</x:v>
      </x:c>
      <x:c r="H9" s="34" t="str">
        <x:v>Touch Tether's local-first ecosystem without blocking MVP.</x:v>
      </x:c>
    </x:row>
    <x:row r="10">
      <x:c r="A10" s="34" t="str">
        <x:v>Phase 8 Portfolio</x:v>
      </x:c>
      <x:c r="B10" s="34" t="str">
        <x:v>Sprint 9</x:v>
      </x:c>
      <x:c r="C10" s="34" t="n">
        <x:v>5</x:v>
      </x:c>
      <x:c r="D10" s="34" t="n">
        <x:v>17</x:v>
      </x:c>
      <x:c r="E10" s="34" t="n">
        <x:v>12</x:v>
      </x:c>
      <x:c r="F10" s="34" t="str">
        <x:v>2026-07-19</x:v>
      </x:c>
      <x:c r="G10" s="34" t="str">
        <x:v>2026-07-19</x:v>
      </x:c>
      <x:c r="H10" s="34" t="str">
        <x:v>Turn prototype into job evidence.</x:v>
      </x:c>
    </x:row>
  </x:sheetData>
  <x:pageMargins left="0.7" right="0.7" top="0.75" bottom="0.75" header="0.3" footer="0.3"/>
  <x:tableParts count="1">
    <x:tablePart xmlns:r="http://schemas.openxmlformats.org/officeDocument/2006/relationships" r:id="R551aff0245744a7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0" hidden="0" customWidth="1"/>
    <x:col min="4" max="4" width="13" hidden="0" customWidth="1"/>
    <x:col min="5" max="5" width="14" hidden="0" customWidth="1"/>
    <x:col min="6" max="6" width="14" hidden="0" customWidth="1"/>
    <x:col min="7" max="7" width="16" hidden="0" customWidth="1"/>
    <x:col min="8" max="8" width="40" hidden="0" customWidth="1"/>
  </x:cols>
  <x:sheetData>
    <x:row r="1">
      <x:c r="A1" s="25" t="str">
        <x:v>Sprint</x:v>
      </x:c>
      <x:c r="B1" s="25" t="str">
        <x:v>Due Date</x:v>
      </x:c>
      <x:c r="C1" s="25" t="str">
        <x:v>Tickets</x:v>
      </x:c>
      <x:c r="D1" s="25" t="str">
        <x:v>Story Points</x:v>
      </x:c>
      <x:c r="E1" s="25" t="str">
        <x:v>Estimate Hours</x:v>
      </x:c>
      <x:c r="F1" s="25" t="str">
        <x:v>Capacity Hours</x:v>
      </x:c>
      <x:c r="G1" s="25" t="str">
        <x:v>Over Under Hours</x:v>
      </x:c>
      <x:c r="H1" s="25" t="str">
        <x:v>Comment</x:v>
      </x:c>
    </x:row>
    <x:row r="2">
      <x:c r="A2" t="str">
        <x:v>Sprint 0</x:v>
      </x:c>
      <x:c r="B2" t="str">
        <x:v>2026-05-17</x:v>
      </x:c>
      <x:c r="C2" t="n">
        <x:v>5</x:v>
      </x:c>
      <x:c r="D2" t="n">
        <x:v>5</x:v>
      </x:c>
      <x:c r="E2" t="n">
        <x:v>3</x:v>
      </x:c>
      <x:c r="F2" t="n">
        <x:v>6</x:v>
      </x:c>
      <x:c r="G2" t="n">
        <x:f>F2-E2</x:f>
        <x:v>3</x:v>
      </x:c>
      <x:c r="H2" t="str"/>
    </x:row>
    <x:row r="3">
      <x:c r="A3" t="str">
        <x:v>Sprint 1</x:v>
      </x:c>
      <x:c r="B3" t="str">
        <x:v>2026-05-24</x:v>
      </x:c>
      <x:c r="C3" t="n">
        <x:v>6</x:v>
      </x:c>
      <x:c r="D3" t="n">
        <x:v>13</x:v>
      </x:c>
      <x:c r="E3" t="n">
        <x:v>7.5</x:v>
      </x:c>
      <x:c r="F3" t="n">
        <x:v>6</x:v>
      </x:c>
      <x:c r="G3" t="n">
        <x:f>F3-E3</x:f>
        <x:v>-1.5</x:v>
      </x:c>
      <x:c r="H3" t="str"/>
    </x:row>
    <x:row r="4">
      <x:c r="A4" t="str">
        <x:v>Sprint 2</x:v>
      </x:c>
      <x:c r="B4" t="str">
        <x:v>2026-05-31</x:v>
      </x:c>
      <x:c r="C4" t="n">
        <x:v>5</x:v>
      </x:c>
      <x:c r="D4" t="n">
        <x:v>9</x:v>
      </x:c>
      <x:c r="E4" t="n">
        <x:v>5.75</x:v>
      </x:c>
      <x:c r="F4" t="n">
        <x:v>6</x:v>
      </x:c>
      <x:c r="G4" t="n">
        <x:f>F4-E4</x:f>
        <x:v>0.25</x:v>
      </x:c>
      <x:c r="H4" t="str"/>
    </x:row>
    <x:row r="5">
      <x:c r="A5" t="str">
        <x:v>Sprint 3</x:v>
      </x:c>
      <x:c r="B5" t="str">
        <x:v>2026-06-07</x:v>
      </x:c>
      <x:c r="C5" t="n">
        <x:v>4</x:v>
      </x:c>
      <x:c r="D5" t="n">
        <x:v>11</x:v>
      </x:c>
      <x:c r="E5" t="n">
        <x:v>7</x:v>
      </x:c>
      <x:c r="F5" t="n">
        <x:v>6</x:v>
      </x:c>
      <x:c r="G5" t="n">
        <x:f>F5-E5</x:f>
        <x:v>-1</x:v>
      </x:c>
      <x:c r="H5" t="str"/>
    </x:row>
    <x:row r="6">
      <x:c r="A6" t="str">
        <x:v>Sprint 4</x:v>
      </x:c>
      <x:c r="B6" t="str">
        <x:v>2026-06-14</x:v>
      </x:c>
      <x:c r="C6" t="n">
        <x:v>3</x:v>
      </x:c>
      <x:c r="D6" t="n">
        <x:v>9</x:v>
      </x:c>
      <x:c r="E6" t="n">
        <x:v>6</x:v>
      </x:c>
      <x:c r="F6" t="n">
        <x:v>6</x:v>
      </x:c>
      <x:c r="G6" t="n">
        <x:f>F6-E6</x:f>
        <x:v>0</x:v>
      </x:c>
      <x:c r="H6" t="str"/>
    </x:row>
    <x:row r="7">
      <x:c r="A7" t="str">
        <x:v>Sprint 5</x:v>
      </x:c>
      <x:c r="B7" t="str">
        <x:v>2026-06-21</x:v>
      </x:c>
      <x:c r="C7" t="n">
        <x:v>4</x:v>
      </x:c>
      <x:c r="D7" t="n">
        <x:v>10</x:v>
      </x:c>
      <x:c r="E7" t="n">
        <x:v>6</x:v>
      </x:c>
      <x:c r="F7" t="n">
        <x:v>6</x:v>
      </x:c>
      <x:c r="G7" t="n">
        <x:f>F7-E7</x:f>
        <x:v>0</x:v>
      </x:c>
      <x:c r="H7" t="str"/>
    </x:row>
    <x:row r="8">
      <x:c r="A8" t="str">
        <x:v>Sprint 6</x:v>
      </x:c>
      <x:c r="B8" t="str">
        <x:v>2026-06-28</x:v>
      </x:c>
      <x:c r="C8" t="n">
        <x:v>4</x:v>
      </x:c>
      <x:c r="D8" t="n">
        <x:v>12</x:v>
      </x:c>
      <x:c r="E8" t="n">
        <x:v>8</x:v>
      </x:c>
      <x:c r="F8" t="n">
        <x:v>6</x:v>
      </x:c>
      <x:c r="G8" t="n">
        <x:f>F8-E8</x:f>
        <x:v>-2</x:v>
      </x:c>
      <x:c r="H8" t="str"/>
    </x:row>
    <x:row r="9">
      <x:c r="A9" t="str">
        <x:v>Sprint 7</x:v>
      </x:c>
      <x:c r="B9" t="str">
        <x:v>2026-07-05</x:v>
      </x:c>
      <x:c r="C9" t="n">
        <x:v>3</x:v>
      </x:c>
      <x:c r="D9" t="n">
        <x:v>11</x:v>
      </x:c>
      <x:c r="E9" t="n">
        <x:v>8</x:v>
      </x:c>
      <x:c r="F9" t="n">
        <x:v>6</x:v>
      </x:c>
      <x:c r="G9" t="n">
        <x:f>F9-E9</x:f>
        <x:v>-2</x:v>
      </x:c>
      <x:c r="H9" t="str"/>
    </x:row>
    <x:row r="10">
      <x:c r="A10" t="str">
        <x:v>Sprint 8</x:v>
      </x:c>
      <x:c r="B10" t="str">
        <x:v>2026-07-12</x:v>
      </x:c>
      <x:c r="C10" t="n">
        <x:v>5</x:v>
      </x:c>
      <x:c r="D10" t="n">
        <x:v>14</x:v>
      </x:c>
      <x:c r="E10" t="n">
        <x:v>9</x:v>
      </x:c>
      <x:c r="F10" t="n">
        <x:v>6</x:v>
      </x:c>
      <x:c r="G10" t="n">
        <x:f>F10-E10</x:f>
        <x:v>-3</x:v>
      </x:c>
      <x:c r="H10" t="str"/>
    </x:row>
    <x:row r="11">
      <x:c r="A11" t="str">
        <x:v>Sprint 9</x:v>
      </x:c>
      <x:c r="B11" t="str">
        <x:v>2026-07-19</x:v>
      </x:c>
      <x:c r="C11" t="n">
        <x:v>5</x:v>
      </x:c>
      <x:c r="D11" t="n">
        <x:v>17</x:v>
      </x:c>
      <x:c r="E11" t="n">
        <x:v>12</x:v>
      </x:c>
      <x:c r="F11" t="n">
        <x:v>6</x:v>
      </x:c>
      <x:c r="G11" t="n">
        <x:f>F11-E11</x:f>
        <x:v>-6</x:v>
      </x:c>
      <x:c r="H11" t="str"/>
    </x:row>
  </x:sheetData>
  <x:conditionalFormatting sqref="G2:G11">
    <x:cfRule type="expression" dxfId="0" priority="1">
      <x:formula>G2&lt;0</x:formula>
    </x:cfRule>
    <x:cfRule type="expression" dxfId="1" priority="2">
      <x:formula>G2&gt;=0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c0bf795a52f46e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0" hidden="0" customWidth="1"/>
    <x:col min="3" max="3" width="14" hidden="0" customWidth="1"/>
    <x:col min="4" max="4" width="13" hidden="0" customWidth="1"/>
    <x:col min="5" max="5" width="14" hidden="0" customWidth="1"/>
    <x:col min="6" max="6" width="18" hidden="0" customWidth="1"/>
    <x:col min="7" max="7" width="70" hidden="0" customWidth="1"/>
  </x:cols>
  <x:sheetData>
    <x:row r="1">
      <x:c r="A1" s="25" t="str">
        <x:v>Key</x:v>
      </x:c>
      <x:c r="B1" s="30" t="str">
        <x:v>Summary</x:v>
      </x:c>
      <x:c r="C1" s="25" t="str">
        <x:v>Issue Type</x:v>
      </x:c>
      <x:c r="D1" s="25" t="str">
        <x:v>Story Points</x:v>
      </x:c>
      <x:c r="E1" s="25" t="str">
        <x:v>Estimate Hours</x:v>
      </x:c>
      <x:c r="F1" s="25" t="str">
        <x:v>Label</x:v>
      </x:c>
      <x:c r="G1" s="30" t="str">
        <x:v>Notes</x:v>
      </x:c>
    </x:row>
    <x:row r="2">
      <x:c r="A2" t="str">
        <x:v>MVP+1-1</x:v>
      </x:c>
      <x:c r="B2" t="str">
        <x:v>Add semantic embeddings and vector search</x:v>
      </x:c>
      <x:c r="C2" t="str">
        <x:v>Story</x:v>
      </x:c>
      <x:c r="D2" t="n">
        <x:v>5</x:v>
      </x:c>
      <x:c r="E2" t="n">
        <x:v>4</x:v>
      </x:c>
      <x:c r="F2" t="str">
        <x:v>semantic-retrieval</x:v>
      </x:c>
      <x:c r="G2" t="str">
        <x:v>Add embeddings after keyword retrieval MVP works.</x:v>
      </x:c>
    </x:row>
    <x:row r="3">
      <x:c r="A3" t="str">
        <x:v>MVP+1-2</x:v>
      </x:c>
      <x:c r="B3" t="str">
        <x:v>Compare keyword vs semantic retrieval</x:v>
      </x:c>
      <x:c r="C3" t="str">
        <x:v>Task</x:v>
      </x:c>
      <x:c r="D3" t="n">
        <x:v>3</x:v>
      </x:c>
      <x:c r="E3" t="n">
        <x:v>2</x:v>
      </x:c>
      <x:c r="F3" t="str">
        <x:v>evals</x:v>
      </x:c>
      <x:c r="G3" t="str">
        <x:v>Run same eval questions through both retrieval methods.</x:v>
      </x:c>
    </x:row>
    <x:row r="4">
      <x:c r="A4" t="str">
        <x:v>MVP+1-3</x:v>
      </x:c>
      <x:c r="B4" t="str">
        <x:v>Add simple CLI command</x:v>
      </x:c>
      <x:c r="C4" t="str">
        <x:v>Task</x:v>
      </x:c>
      <x:c r="D4" t="n">
        <x:v>3</x:v>
      </x:c>
      <x:c r="E4" t="n">
        <x:v>2</x:v>
      </x:c>
      <x:c r="F4" t="str">
        <x:v>cli</x:v>
      </x:c>
      <x:c r="G4" t="str">
        <x:v>Make question answering easier to run without manual script arguments.</x:v>
      </x:c>
    </x:row>
    <x:row r="5">
      <x:c r="A5" t="str">
        <x:v>MVP+1-4</x:v>
      </x:c>
      <x:c r="B5" t="str">
        <x:v>Deepen QVAC integration</x:v>
      </x:c>
      <x:c r="C5" t="str">
        <x:v>Spike</x:v>
      </x:c>
      <x:c r="D5" t="n">
        <x:v>5</x:v>
      </x:c>
      <x:c r="E5" t="n">
        <x:v>4</x:v>
      </x:c>
      <x:c r="F5" t="str">
        <x:v>qvac</x:v>
      </x:c>
      <x:c r="G5" t="str">
        <x:v>Try replacing Ollama path with QVAC where feasible.</x:v>
      </x:c>
    </x:row>
    <x:row r="6">
      <x:c r="A6" t="str">
        <x:v>MVP+1-5</x:v>
      </x:c>
      <x:c r="B6" t="str">
        <x:v>Create tiny local UI</x:v>
      </x:c>
      <x:c r="C6" t="str">
        <x:v>Task</x:v>
      </x:c>
      <x:c r="D6" t="n">
        <x:v>5</x:v>
      </x:c>
      <x:c r="E6" t="n">
        <x:v>4</x:v>
      </x:c>
      <x:c r="F6" t="str">
        <x:v>ui</x:v>
      </x:c>
      <x:c r="G6" t="str">
        <x:v>Only after CLI/core loop works.</x:v>
      </x:c>
    </x:row>
    <x:row r="7">
      <x:c r="A7" t="str">
        <x:v>MVP+1-6</x:v>
      </x:c>
      <x:c r="B7" t="str">
        <x:v>AI vendor comparison memo</x:v>
      </x:c>
      <x:c r="C7" t="str">
        <x:v>Task</x:v>
      </x:c>
      <x:c r="D7" t="n">
        <x:v>3</x:v>
      </x:c>
      <x:c r="E7" t="n">
        <x:v>2</x:v>
      </x:c>
      <x:c r="F7" t="str">
        <x:v>governance</x:v>
      </x:c>
      <x:c r="G7" t="str">
        <x:v>Compare OpenAI, Anthropic, Microsoft, local/Ollama, QVAC.</x:v>
      </x:c>
    </x:row>
    <x:row r="8">
      <x:c r="A8" t="str">
        <x:v>MVP+1-7</x:v>
      </x:c>
      <x:c r="B8" t="str">
        <x:v>AI use-case triage template</x:v>
      </x:c>
      <x:c r="C8" t="str">
        <x:v>Task</x:v>
      </x:c>
      <x:c r="D8" t="n">
        <x:v>3</x:v>
      </x:c>
      <x:c r="E8" t="n">
        <x:v>2</x:v>
      </x:c>
      <x:c r="F8" t="str">
        <x:v>governance</x:v>
      </x:c>
      <x:c r="G8" t="str">
        <x:v>Reusable enterprise intake artifact.</x:v>
      </x:c>
    </x:row>
  </x:sheetData>
  <x:pageMargins left="0.7" right="0.7" top="0.75" bottom="0.75" header="0.3" footer="0.3"/>
  <x:tableParts count="1">
    <x:tablePart xmlns:r="http://schemas.openxmlformats.org/officeDocument/2006/relationships" r:id="Rdc82783027984b6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18" t="str">
        <x:v>Local Scriptorium MVP Planning Workbook</x:v>
      </x:c>
      <x:c r="B1" s="19"/>
    </x:row>
    <x:row r="2">
      <x:c r="A2" t="str"/>
      <x:c r="B2"/>
    </x:row>
    <x:row r="3">
      <x:c r="A3" s="13" t="str">
        <x:v>Purpose</x:v>
      </x:c>
      <x:c r="B3" t="str">
        <x:v>This workbook is a human-readable planning companion to the Jira CSV import files.</x:v>
      </x:c>
    </x:row>
    <x:row r="4">
      <x:c r="A4" s="13" t="str">
        <x:v>Jira import</x:v>
      </x:c>
      <x:c r="B4" t="str">
        <x:v>Use the CSV files for Jira. This workbook is for review, planning, and roadmap visibility.</x:v>
      </x:c>
    </x:row>
    <x:row r="5">
      <x:c r="A5" s="13" t="str">
        <x:v>Estimate rule</x:v>
      </x:c>
      <x:c r="B5" t="str">
        <x:v>Story points estimate complexity/uncertainty. Original Estimate in Jira CSV is stored in seconds.</x:v>
      </x:c>
    </x:row>
    <x:row r="6">
      <x:c r="A6" s="13" t="str">
        <x:v>MVP goal</x:v>
      </x:c>
      <x:c r="B6" t="str">
        <x:v>source → chunk → retrieve → answer → cite → evaluate</x:v>
      </x:c>
    </x:row>
    <x:row r="7">
      <x:c r="A7" s="13" t="str">
        <x:v>Scope warning</x:v>
      </x:c>
      <x:c r="B7" t="str">
        <x:v>Do not add UI, fine-tuning, OCR, cloud deployment, or hardware purchases before MVP evidence exists.</x:v>
      </x:c>
    </x:row>
  </x:sheetData>
  <x:mergeCells>
    <x:mergeCell ref="A1:B1"/>
  </x:mergeCells>
  <x:pageMargins left="0.7" right="0.7" top="0.75" bottom="0.75" header="0.3" footer="0.3"/>
</x:worksheet>
</file>